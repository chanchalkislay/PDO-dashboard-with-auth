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 defaultThemeVersion="124226"/>
  <xr:revisionPtr revIDLastSave="0" documentId="13_ncr:1_{7C436E2D-905A-4797-AD33-EBB85523C45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ales Data" sheetId="4" r:id="rId1"/>
    <sheet name="Sheet3" sheetId="3" state="hidden" r:id="rId2"/>
  </sheets>
  <definedNames>
    <definedName name="_xlnm._FilterDatabase" localSheetId="0" hidden="1">'Sales Data'!$A$2:$L$461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58" i="4" l="1"/>
  <c r="H458" i="4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I458" i="4" l="1"/>
  <c r="H10" i="3"/>
  <c r="I10" i="3"/>
  <c r="D10" i="3"/>
  <c r="E10" i="3"/>
  <c r="F10" i="3"/>
  <c r="G10" i="3"/>
</calcChain>
</file>

<file path=xl/sharedStrings.xml><?xml version="1.0" encoding="utf-8"?>
<sst xmlns="http://schemas.openxmlformats.org/spreadsheetml/2006/main" count="1857" uniqueCount="871">
  <si>
    <t>C.C. NUMBER</t>
  </si>
  <si>
    <t>LOCATION</t>
  </si>
  <si>
    <t>TALUKA</t>
  </si>
  <si>
    <t>DIST</t>
  </si>
  <si>
    <t>AKOLA</t>
  </si>
  <si>
    <t>MS CURR</t>
  </si>
  <si>
    <t>HSD  HIST</t>
  </si>
  <si>
    <t>HSD CURR</t>
  </si>
  <si>
    <t>NAME OF THE DEALER</t>
  </si>
  <si>
    <t>MS</t>
  </si>
  <si>
    <t>HSD</t>
  </si>
  <si>
    <t>LUBE</t>
  </si>
  <si>
    <t>NGR</t>
  </si>
  <si>
    <t>SHRD</t>
  </si>
  <si>
    <t>ABAD A</t>
  </si>
  <si>
    <t>ABAD B</t>
  </si>
  <si>
    <t>JLN</t>
  </si>
  <si>
    <t>MS HIST</t>
  </si>
  <si>
    <t>*INCLUSIVE OF POWER AND TURBO</t>
  </si>
  <si>
    <t>SAP CODE</t>
  </si>
  <si>
    <t>HPC NEW COMMISSIONING :</t>
  </si>
  <si>
    <t>CC NUMBER</t>
  </si>
  <si>
    <t>NAME OF THE DEALERSHIP</t>
  </si>
  <si>
    <t>DISTRICT</t>
  </si>
  <si>
    <t>Comm. Dt.</t>
  </si>
  <si>
    <t>Class of Mkt</t>
  </si>
  <si>
    <t>Highway No</t>
  </si>
  <si>
    <t>Sr.</t>
  </si>
  <si>
    <t>Type of Site (DC/CC/CFS)</t>
  </si>
  <si>
    <t>ADVT  MKTG PLAN</t>
  </si>
  <si>
    <t>Renuka Petroleum</t>
  </si>
  <si>
    <t>Kharda</t>
  </si>
  <si>
    <t>Jamkhed</t>
  </si>
  <si>
    <t>Ahmednagar</t>
  </si>
  <si>
    <t>Shri Sai Auto Services</t>
  </si>
  <si>
    <t>Vrushali Janjire Fuel Centre</t>
  </si>
  <si>
    <t>Rashin</t>
  </si>
  <si>
    <t>Karjat</t>
  </si>
  <si>
    <t>Vithal Petroleum</t>
  </si>
  <si>
    <t>Sarola Stn</t>
  </si>
  <si>
    <t>Ajinkya Petroleum</t>
  </si>
  <si>
    <t>Karjut</t>
  </si>
  <si>
    <t>Padmavati Fuel Station</t>
  </si>
  <si>
    <t>Ghogargaon</t>
  </si>
  <si>
    <t>Shrigonda</t>
  </si>
  <si>
    <t>Tanpure Petroleum</t>
  </si>
  <si>
    <t>Mirajgaon</t>
  </si>
  <si>
    <t>Pancharatna Petroleum</t>
  </si>
  <si>
    <t>Khed</t>
  </si>
  <si>
    <t>Ayush-Lamkhade Petroleum</t>
  </si>
  <si>
    <t>Nimblk</t>
  </si>
  <si>
    <t>Nagar</t>
  </si>
  <si>
    <t>Gajanan Petroleum</t>
  </si>
  <si>
    <t>Ambhora Phata</t>
  </si>
  <si>
    <t>Motilal Manakchand &amp; Co.</t>
  </si>
  <si>
    <t>Station Road</t>
  </si>
  <si>
    <t>V Ramchandra &amp; Co.</t>
  </si>
  <si>
    <t>Kedgaon</t>
  </si>
  <si>
    <t>Shree Ram Automobiles</t>
  </si>
  <si>
    <t>Sarjepura</t>
  </si>
  <si>
    <t>Padmavati Petroleum</t>
  </si>
  <si>
    <t>Civil Hospital</t>
  </si>
  <si>
    <t>Shree Siddhi Petroleum</t>
  </si>
  <si>
    <t>Nimbodi</t>
  </si>
  <si>
    <t>Nirmala Auto Care Centre</t>
  </si>
  <si>
    <t>Shiradhon</t>
  </si>
  <si>
    <t>Sunder Petroleum</t>
  </si>
  <si>
    <t>Phokardi</t>
  </si>
  <si>
    <t>Utkarsha Fuel</t>
  </si>
  <si>
    <t>Arangaon</t>
  </si>
  <si>
    <t>Sairaj Petroleum</t>
  </si>
  <si>
    <t>Villad</t>
  </si>
  <si>
    <t>Ranjeet Petroleum</t>
  </si>
  <si>
    <t>MIDC</t>
  </si>
  <si>
    <t>Sonal Petroleum</t>
  </si>
  <si>
    <t>Kamargaon</t>
  </si>
  <si>
    <t>KM Date-Sonwane Petroleum</t>
  </si>
  <si>
    <t>Hingangaon</t>
  </si>
  <si>
    <t>Hi-Tech Fuel Station</t>
  </si>
  <si>
    <t>Anand Petroleum</t>
  </si>
  <si>
    <t>Shahapur</t>
  </si>
  <si>
    <t>Shriram &amp; Sons Petroleum</t>
  </si>
  <si>
    <t>Walunj</t>
  </si>
  <si>
    <t>HP Service Centre, Supa (41042567)</t>
  </si>
  <si>
    <t>Supa</t>
  </si>
  <si>
    <t>Parner</t>
  </si>
  <si>
    <t>Om Sai Krishi Seva Kendra</t>
  </si>
  <si>
    <t>Alkuti</t>
  </si>
  <si>
    <t>Shree Nageshwar Highway Services</t>
  </si>
  <si>
    <t>Bhalwani</t>
  </si>
  <si>
    <t>Sanskriti Fuel Centre, Parner</t>
  </si>
  <si>
    <t>Malganga Fuel Centre</t>
  </si>
  <si>
    <t>Nighoj</t>
  </si>
  <si>
    <t>Prajeet Dhokeshwar Petroleum</t>
  </si>
  <si>
    <t>Takli Dhokeshwar</t>
  </si>
  <si>
    <t>Shivshree Petroleum</t>
  </si>
  <si>
    <t>Palve Kh</t>
  </si>
  <si>
    <t>Prathmesh Mhaske HP Petrol Pump</t>
  </si>
  <si>
    <t>Dhotre Bk</t>
  </si>
  <si>
    <t>Gendalal &amp; Sons Petroleum</t>
  </si>
  <si>
    <t>Malkup</t>
  </si>
  <si>
    <t>Kashti</t>
  </si>
  <si>
    <t>Chandrama Petroleum</t>
  </si>
  <si>
    <t>Sai Petroleum</t>
  </si>
  <si>
    <t>God River Bridge</t>
  </si>
  <si>
    <t>Bhapkar Petroleum</t>
  </si>
  <si>
    <t>Jategaon</t>
  </si>
  <si>
    <t>RR Petroleum</t>
  </si>
  <si>
    <t>Chass</t>
  </si>
  <si>
    <t>Mahaganpati Petroleum</t>
  </si>
  <si>
    <t>Rajapur Phata</t>
  </si>
  <si>
    <t>Shivnery Petroleum</t>
  </si>
  <si>
    <t>Siddhivinayak Petroleum</t>
  </si>
  <si>
    <t>Jalalpur</t>
  </si>
  <si>
    <t>Vaibhav Petroleum</t>
  </si>
  <si>
    <t>Pargaon Phata</t>
  </si>
  <si>
    <t>Kanan Petroleum</t>
  </si>
  <si>
    <t>Shivmudra Petroleum</t>
  </si>
  <si>
    <t>Chikhali</t>
  </si>
  <si>
    <t>Star Petroleum</t>
  </si>
  <si>
    <t>RK Petroleum</t>
  </si>
  <si>
    <t>Chinchodi Patil</t>
  </si>
  <si>
    <t>Mauli Fuel Station</t>
  </si>
  <si>
    <t xml:space="preserve">Jeur </t>
  </si>
  <si>
    <t>Amardeep Petroleum And Services</t>
  </si>
  <si>
    <t>Nagapur</t>
  </si>
  <si>
    <t>Saurabh Petroleum</t>
  </si>
  <si>
    <t>Sawargaon               </t>
  </si>
  <si>
    <t>Date Petroleum</t>
  </si>
  <si>
    <t>Khadakwadi</t>
  </si>
  <si>
    <t>Vaishnavimata Petroleum</t>
  </si>
  <si>
    <t>Narayangavhan</t>
  </si>
  <si>
    <t>Gayatri Petroleum</t>
  </si>
  <si>
    <t>Ralegan Siddhi</t>
  </si>
  <si>
    <t>Rui Chhatsi</t>
  </si>
  <si>
    <t>Shriram Petroleum</t>
  </si>
  <si>
    <t>Belawandi</t>
  </si>
  <si>
    <t>Krishnaanjaninath Petroleum</t>
  </si>
  <si>
    <t>Vadzire</t>
  </si>
  <si>
    <t>Ashirwad Petroleum</t>
  </si>
  <si>
    <t>Nepti</t>
  </si>
  <si>
    <t>Ganga Petroleum</t>
  </si>
  <si>
    <t>Babhurdi Bend</t>
  </si>
  <si>
    <t>Synergy Petroleum</t>
  </si>
  <si>
    <t>Mauli Petro Station</t>
  </si>
  <si>
    <t>Kolwadi</t>
  </si>
  <si>
    <t>Mukta Petroleum</t>
  </si>
  <si>
    <t>Shri Durga Mata Petroleum</t>
  </si>
  <si>
    <t>Dhawalpuri</t>
  </si>
  <si>
    <t>Ajinkyatara Petroleum</t>
  </si>
  <si>
    <t>NIRMALA PETROLEUM</t>
  </si>
  <si>
    <t>BALASAHEB JAGTAP PATIL PETROLEUM</t>
  </si>
  <si>
    <t>Vilad</t>
  </si>
  <si>
    <t>AVNEESH PETROLEUM</t>
  </si>
  <si>
    <t>Yadav Petroleum</t>
  </si>
  <si>
    <t>Rehkuri</t>
  </si>
  <si>
    <t>Sai Fuels, Jamod</t>
  </si>
  <si>
    <t>Jamod</t>
  </si>
  <si>
    <t>Jalgaon Jamod</t>
  </si>
  <si>
    <t>Buldhana</t>
  </si>
  <si>
    <t>Jhunjhunwala Traders, Khamgaon</t>
  </si>
  <si>
    <t>Khamgaon</t>
  </si>
  <si>
    <t>Bhavani Petroleum</t>
  </si>
  <si>
    <t>Amrut Petroleum</t>
  </si>
  <si>
    <t>Krushna Petroleum</t>
  </si>
  <si>
    <t>Pimpalgaon Raja</t>
  </si>
  <si>
    <t>B Navinchandra And Company</t>
  </si>
  <si>
    <t>Malkapur</t>
  </si>
  <si>
    <t>Pachpande Brothers</t>
  </si>
  <si>
    <t>Shree Sevagir Baba Petroleum</t>
  </si>
  <si>
    <t>Motala</t>
  </si>
  <si>
    <t>Raviraj Petrol Pump</t>
  </si>
  <si>
    <t>Dhamangaon Badhe</t>
  </si>
  <si>
    <t>Daga Auto Service</t>
  </si>
  <si>
    <t>Nandura</t>
  </si>
  <si>
    <t>Tulsi Petroleum</t>
  </si>
  <si>
    <t>Warvatbakal</t>
  </si>
  <si>
    <t>Sangrampur</t>
  </si>
  <si>
    <t>Gajanan Sai Petroleum</t>
  </si>
  <si>
    <t>Shegaon</t>
  </si>
  <si>
    <t>Jai Sai Automobiles</t>
  </si>
  <si>
    <t>Dhad</t>
  </si>
  <si>
    <t>Chaudhari Petroleum</t>
  </si>
  <si>
    <t>Agrawal Petroleum</t>
  </si>
  <si>
    <t>Yelgaon</t>
  </si>
  <si>
    <t>APMC Buldhana</t>
  </si>
  <si>
    <t>Dudha</t>
  </si>
  <si>
    <t>Mauli Petrolinks</t>
  </si>
  <si>
    <t>Malvihir</t>
  </si>
  <si>
    <t>Shivkrupa Petroleum</t>
  </si>
  <si>
    <t>Ambetakli</t>
  </si>
  <si>
    <t>Rathod Petroleum</t>
  </si>
  <si>
    <t>Sonala</t>
  </si>
  <si>
    <t>Burungale Petroleum</t>
  </si>
  <si>
    <t>Bhavani Auto Fuels</t>
  </si>
  <si>
    <t>Tembhurna</t>
  </si>
  <si>
    <t>New Raviraj Petroleum</t>
  </si>
  <si>
    <t>Pimpri Gawali</t>
  </si>
  <si>
    <t>Herole Petroleum</t>
  </si>
  <si>
    <t>Makta</t>
  </si>
  <si>
    <t>SHRI DATT PETROLEUM</t>
  </si>
  <si>
    <t>NANDURA</t>
  </si>
  <si>
    <t>Jadhao Petroleum</t>
  </si>
  <si>
    <t>Kolwad</t>
  </si>
  <si>
    <t>Hari Auto Service</t>
  </si>
  <si>
    <t>Bhagwatwadi</t>
  </si>
  <si>
    <t>Akola</t>
  </si>
  <si>
    <t>Dhanlaxmi Petroleum</t>
  </si>
  <si>
    <t>Akot</t>
  </si>
  <si>
    <t>Kebico Auto Centre</t>
  </si>
  <si>
    <t>Krishi Kendra</t>
  </si>
  <si>
    <t>Ridhora</t>
  </si>
  <si>
    <t>MR Vajifdar &amp; Sons</t>
  </si>
  <si>
    <t>Alsi Plots</t>
  </si>
  <si>
    <t>Onkarmal Rungta &amp; Sons</t>
  </si>
  <si>
    <t>Washimba</t>
  </si>
  <si>
    <t>Suniti Petroleum</t>
  </si>
  <si>
    <t>Shivar</t>
  </si>
  <si>
    <t>Shah &amp; Company</t>
  </si>
  <si>
    <t>Balapur</t>
  </si>
  <si>
    <t>Ghodegaon Chouraha</t>
  </si>
  <si>
    <t>Telhara</t>
  </si>
  <si>
    <t>Kashtkar &amp; Sons</t>
  </si>
  <si>
    <t>Chohatta Bazar</t>
  </si>
  <si>
    <t>Kavita Petroleum</t>
  </si>
  <si>
    <t>Dalambi</t>
  </si>
  <si>
    <t>Murtizapur</t>
  </si>
  <si>
    <t>Anand Petroleum Services</t>
  </si>
  <si>
    <t>Balaji Petroleum</t>
  </si>
  <si>
    <t>Hathgaon</t>
  </si>
  <si>
    <t>Shree Sant Enterprises</t>
  </si>
  <si>
    <t>Barshitakli</t>
  </si>
  <si>
    <t>Pawar Petroleum</t>
  </si>
  <si>
    <t>Wadegaon</t>
  </si>
  <si>
    <t>Shiloda</t>
  </si>
  <si>
    <t>Swami Petroleum</t>
  </si>
  <si>
    <t>Adgaon</t>
  </si>
  <si>
    <t>Shrikrupa Petroleum</t>
  </si>
  <si>
    <t>Nimba Phata</t>
  </si>
  <si>
    <t>High-Way Fuels</t>
  </si>
  <si>
    <t>Mauli Petroleum</t>
  </si>
  <si>
    <t>Vyala</t>
  </si>
  <si>
    <t>Nandikeshwar Petroleum</t>
  </si>
  <si>
    <t>Parmeshwarlalji Jaiswal &amp; Sons</t>
  </si>
  <si>
    <t>Pinjar</t>
  </si>
  <si>
    <t>PP Patil Petroleum</t>
  </si>
  <si>
    <t>Hariom Petroleum</t>
  </si>
  <si>
    <t>Adsul</t>
  </si>
  <si>
    <t>Shri Seva Petroleum</t>
  </si>
  <si>
    <t>Chainchkhed</t>
  </si>
  <si>
    <t>Patur</t>
  </si>
  <si>
    <t>Harshal Petroleum</t>
  </si>
  <si>
    <t>Devulgaon</t>
  </si>
  <si>
    <t>Mehar-Fuel Charger</t>
  </si>
  <si>
    <t>Kastkhed                </t>
  </si>
  <si>
    <t>Tirupati Balaji Petroleum</t>
  </si>
  <si>
    <t>Barakholi</t>
  </si>
  <si>
    <t>Gaigaon</t>
  </si>
  <si>
    <t>Awdhut Petroleum</t>
  </si>
  <si>
    <t>Shivni</t>
  </si>
  <si>
    <t>Ramai Petroleum</t>
  </si>
  <si>
    <t>Kaswi</t>
  </si>
  <si>
    <t>Sahera Petroleum</t>
  </si>
  <si>
    <t>Ganori</t>
  </si>
  <si>
    <t>Shri Aditya Petroleum</t>
  </si>
  <si>
    <t>Rajanda</t>
  </si>
  <si>
    <t>Kanishka Petroleum</t>
  </si>
  <si>
    <t>Borgaon Manju</t>
  </si>
  <si>
    <t>Shri Ganaraya Petroleum</t>
  </si>
  <si>
    <t>Deoriphata</t>
  </si>
  <si>
    <t>AR Khan, Karanja</t>
  </si>
  <si>
    <t>Karanja</t>
  </si>
  <si>
    <t>Washim</t>
  </si>
  <si>
    <t>KP Patni, Pusadnaka, Washim</t>
  </si>
  <si>
    <t>Pusad Naka</t>
  </si>
  <si>
    <t>INACTIVE Kesarimal P Patni,Washim</t>
  </si>
  <si>
    <t>Ramdev Petro Agency</t>
  </si>
  <si>
    <t>Manora</t>
  </si>
  <si>
    <t>Chitlange Petroleum</t>
  </si>
  <si>
    <t>Shendurjana</t>
  </si>
  <si>
    <t>Om Auto Centre</t>
  </si>
  <si>
    <t>Shelgaon</t>
  </si>
  <si>
    <t>Mangrulpir</t>
  </si>
  <si>
    <t>Fauji Petroleum</t>
  </si>
  <si>
    <t>Hirangi</t>
  </si>
  <si>
    <t>Jagdamba Petroleum, Malegaon</t>
  </si>
  <si>
    <t>Malegaon</t>
  </si>
  <si>
    <t>AK Khandare &amp; Co.</t>
  </si>
  <si>
    <t>Risod</t>
  </si>
  <si>
    <t>Amruta HPCL Petrol Pump</t>
  </si>
  <si>
    <t>Rithad</t>
  </si>
  <si>
    <t>Saiji Petroleum</t>
  </si>
  <si>
    <t>Kenwad</t>
  </si>
  <si>
    <t>Baliraja Petroleum</t>
  </si>
  <si>
    <t>Pimpri Sarhad</t>
  </si>
  <si>
    <t>Mahalaxmi Petrol Pump</t>
  </si>
  <si>
    <t>Washim WML</t>
  </si>
  <si>
    <t>Gajanan Petrol Pump</t>
  </si>
  <si>
    <t>Siddheshwar Petroleum</t>
  </si>
  <si>
    <t>Karanja (Laad)</t>
  </si>
  <si>
    <t>Shri Sai Petroleum</t>
  </si>
  <si>
    <t>Shirpur Jain</t>
  </si>
  <si>
    <t>Dakshata Petrol Pump</t>
  </si>
  <si>
    <t>Vikas Petroleum</t>
  </si>
  <si>
    <t>Amani</t>
  </si>
  <si>
    <t>Adhoc Saiji Petroleum (41068323 Adhoc AK Khandare)</t>
  </si>
  <si>
    <t>Davha</t>
  </si>
  <si>
    <t>Painganga Petroleum</t>
  </si>
  <si>
    <t>Rajgaon</t>
  </si>
  <si>
    <t xml:space="preserve">Huda Petroleum </t>
  </si>
  <si>
    <t>Kherda</t>
  </si>
  <si>
    <t>Shri Zolebaba Petroleum</t>
  </si>
  <si>
    <t>Pimpri Awagan</t>
  </si>
  <si>
    <t>Nizam Petroleum</t>
  </si>
  <si>
    <t>Eidgah Road</t>
  </si>
  <si>
    <t>Sai Kiran Petroleum</t>
  </si>
  <si>
    <t>Adhul</t>
  </si>
  <si>
    <t>Aurangabad</t>
  </si>
  <si>
    <t>Harsh Enterprises</t>
  </si>
  <si>
    <t>Nipani</t>
  </si>
  <si>
    <t>ATC Services</t>
  </si>
  <si>
    <t>Waluj</t>
  </si>
  <si>
    <t>Narmada Auto Services</t>
  </si>
  <si>
    <t>Shanoorwadi</t>
  </si>
  <si>
    <t>Girija Samarth Services</t>
  </si>
  <si>
    <t>Sharnapur</t>
  </si>
  <si>
    <t>Hind Super Services</t>
  </si>
  <si>
    <t>Kranti Chowk</t>
  </si>
  <si>
    <t>Sardar Singh &amp; Sons</t>
  </si>
  <si>
    <t>Jalna Road</t>
  </si>
  <si>
    <t>HP Service Centre Harsul (41048323)</t>
  </si>
  <si>
    <t>Harsul</t>
  </si>
  <si>
    <t>AP Patel &amp; Co.</t>
  </si>
  <si>
    <t>Shahaganj</t>
  </si>
  <si>
    <t>HP Sunderwadi Highway Centre</t>
  </si>
  <si>
    <t>Sunderwadi</t>
  </si>
  <si>
    <t>Ambarwadikar Enterprises</t>
  </si>
  <si>
    <t>Anjani Petro Unit</t>
  </si>
  <si>
    <t>AS Club</t>
  </si>
  <si>
    <t>Amritsar Petroleum</t>
  </si>
  <si>
    <t>Demni</t>
  </si>
  <si>
    <t>KK Petroleum</t>
  </si>
  <si>
    <t>Hatesingpur</t>
  </si>
  <si>
    <t>Neelkanth Petroleum</t>
  </si>
  <si>
    <t>Aayush Petroleum</t>
  </si>
  <si>
    <t>Maliwada</t>
  </si>
  <si>
    <t>Sanjay Petroleum</t>
  </si>
  <si>
    <t>Ladsawangi</t>
  </si>
  <si>
    <t>Bhagwati Petroleum</t>
  </si>
  <si>
    <t>Shendra</t>
  </si>
  <si>
    <t>Viraj Peroleum</t>
  </si>
  <si>
    <t>Karmad</t>
  </si>
  <si>
    <t>Hindustan Automobiles</t>
  </si>
  <si>
    <t>Mitmita</t>
  </si>
  <si>
    <t>Shri Krishna Petroleum</t>
  </si>
  <si>
    <t>Deolai</t>
  </si>
  <si>
    <t>Shri Shiveshwar Petroleum</t>
  </si>
  <si>
    <t>Chincholi (L)</t>
  </si>
  <si>
    <t>Kannad</t>
  </si>
  <si>
    <t>Hamara Pump Aurala</t>
  </si>
  <si>
    <t>Aurala</t>
  </si>
  <si>
    <t>Uday Petroleum</t>
  </si>
  <si>
    <t>Nagad</t>
  </si>
  <si>
    <t>Hamara Pump Pishor</t>
  </si>
  <si>
    <t>Pishor</t>
  </si>
  <si>
    <t>Ramgopal Automobiles</t>
  </si>
  <si>
    <t>Patil Petroleum</t>
  </si>
  <si>
    <t>Boregaon</t>
  </si>
  <si>
    <t>INACTIVE Jai Shriram Petroleum</t>
  </si>
  <si>
    <t>Kadam Petroleums</t>
  </si>
  <si>
    <t>Shri Om Petroleum</t>
  </si>
  <si>
    <t>Sultanpur</t>
  </si>
  <si>
    <t>Khultabad</t>
  </si>
  <si>
    <t>Varad Petroleum</t>
  </si>
  <si>
    <t>Shri Rajureshwar Petroleum</t>
  </si>
  <si>
    <t>Kolte Takli</t>
  </si>
  <si>
    <t>Phulambri</t>
  </si>
  <si>
    <t>Jai Jawan Auto Service</t>
  </si>
  <si>
    <t>Jay Petroleum</t>
  </si>
  <si>
    <t>Pal Phata</t>
  </si>
  <si>
    <t>APMC Phulambri Petrol Pump</t>
  </si>
  <si>
    <t>Nidhona</t>
  </si>
  <si>
    <t>Kheteshwar Automobiles</t>
  </si>
  <si>
    <t>Sillod</t>
  </si>
  <si>
    <t>Ekta Petroleum</t>
  </si>
  <si>
    <t>Aaland</t>
  </si>
  <si>
    <t>Saheed Vinod Agency</t>
  </si>
  <si>
    <t>Madni</t>
  </si>
  <si>
    <t>Bramha Automobiles</t>
  </si>
  <si>
    <t>Aaditya Agency</t>
  </si>
  <si>
    <t>Golegaon</t>
  </si>
  <si>
    <t>Shubham Petroleum</t>
  </si>
  <si>
    <t>Ajantha</t>
  </si>
  <si>
    <t>Shiveshwar Petroleum</t>
  </si>
  <si>
    <t>Talni</t>
  </si>
  <si>
    <t>Pawan Lahiri Petroleum</t>
  </si>
  <si>
    <t>Fardhapur</t>
  </si>
  <si>
    <t>Mahajan Brothers</t>
  </si>
  <si>
    <t>Bharadi</t>
  </si>
  <si>
    <t>Kale Petroleum</t>
  </si>
  <si>
    <t>Prabhawati Petroleum</t>
  </si>
  <si>
    <t>Savangi</t>
  </si>
  <si>
    <t>DNP Service Station</t>
  </si>
  <si>
    <t>Danekar Petroleum</t>
  </si>
  <si>
    <t>Amthana</t>
  </si>
  <si>
    <t>Sonu Petroleum</t>
  </si>
  <si>
    <t>Hatnoor</t>
  </si>
  <si>
    <t>Janki Petroleum</t>
  </si>
  <si>
    <t>Ramnagar</t>
  </si>
  <si>
    <t>Pimpri</t>
  </si>
  <si>
    <t>Amruteshwar Petroleum</t>
  </si>
  <si>
    <t>Warthan</t>
  </si>
  <si>
    <t>Soygaon</t>
  </si>
  <si>
    <t>Adhira Petroleum</t>
  </si>
  <si>
    <t>Mambapur</t>
  </si>
  <si>
    <t>Lokseva Petroleum</t>
  </si>
  <si>
    <t>Digar</t>
  </si>
  <si>
    <t>OM SAI PETROLEUM, SOYEGAON (41079309 Adhoc Uday Petroleum)</t>
  </si>
  <si>
    <t>Shrikanth Petroleum</t>
  </si>
  <si>
    <t>Naregaon</t>
  </si>
  <si>
    <t>Shivdeep Petroleum</t>
  </si>
  <si>
    <t>Banoti</t>
  </si>
  <si>
    <t>SRPF Petrol Pump</t>
  </si>
  <si>
    <t>Satara</t>
  </si>
  <si>
    <t>Maharudra Petroleum</t>
  </si>
  <si>
    <t>Devlana</t>
  </si>
  <si>
    <t>Shri Siddheshwar Petroleum</t>
  </si>
  <si>
    <t>Panas</t>
  </si>
  <si>
    <t>Samruddhi Petroleum</t>
  </si>
  <si>
    <t>Saksham Petroleum CSMC Kanchanwadi</t>
  </si>
  <si>
    <t>Kanchanwadi</t>
  </si>
  <si>
    <t>Adhoc Anjani Petro Unit</t>
  </si>
  <si>
    <t>Chikhalthana MIDC</t>
  </si>
  <si>
    <t>APMC Jadhavwadi Petrol Pump</t>
  </si>
  <si>
    <t>Jadhavwadi</t>
  </si>
  <si>
    <t>Madhuban Energy Hub</t>
  </si>
  <si>
    <t>Warzadi</t>
  </si>
  <si>
    <t>Auto Care Centre</t>
  </si>
  <si>
    <t>Shrisha Petroleum</t>
  </si>
  <si>
    <t>Shambaba Petroleum</t>
  </si>
  <si>
    <t>Chitegoan</t>
  </si>
  <si>
    <t>HP Maharashtra Petroleum</t>
  </si>
  <si>
    <t>Chikalthana</t>
  </si>
  <si>
    <t>Kanchan Petroleum</t>
  </si>
  <si>
    <t>Kadrabad</t>
  </si>
  <si>
    <t>Dnyaneshwar Krishi Sewa Kendra</t>
  </si>
  <si>
    <t>Newasa</t>
  </si>
  <si>
    <t>Shankaranandi Service Station</t>
  </si>
  <si>
    <t>Tisgaon</t>
  </si>
  <si>
    <t>Pathardi</t>
  </si>
  <si>
    <t>Gangababa Petroleum</t>
  </si>
  <si>
    <t>Kharwandi</t>
  </si>
  <si>
    <t>Atharva Hinge Petroleum</t>
  </si>
  <si>
    <t>Shekte</t>
  </si>
  <si>
    <t>Urja Strot Petroleum</t>
  </si>
  <si>
    <t>Nandanvan Petroleum</t>
  </si>
  <si>
    <t>Miri</t>
  </si>
  <si>
    <t>Apurva Petroleum</t>
  </si>
  <si>
    <t>Ranjani</t>
  </si>
  <si>
    <t>Anurag Petroleum, Shevgaon</t>
  </si>
  <si>
    <t>Shevgaon</t>
  </si>
  <si>
    <t>Shri Mallikarjun Petroleum</t>
  </si>
  <si>
    <t>Bhodhegaon</t>
  </si>
  <si>
    <t>Dharmatma Petroleum</t>
  </si>
  <si>
    <t>Shri Shiv Parvati Petroleum</t>
  </si>
  <si>
    <t>Amrapur</t>
  </si>
  <si>
    <t>Atharva Petroleum</t>
  </si>
  <si>
    <t>Shri Datta Petroleum</t>
  </si>
  <si>
    <t>Apegaon</t>
  </si>
  <si>
    <t>Arnav Petroleum</t>
  </si>
  <si>
    <t>Darshan Petroleum</t>
  </si>
  <si>
    <t>GK Parekh &amp; Sons</t>
  </si>
  <si>
    <t>Ghodegaon</t>
  </si>
  <si>
    <t>DS Petro Junction</t>
  </si>
  <si>
    <t>Wadala Padhariphul</t>
  </si>
  <si>
    <t>Narmada Petroleum</t>
  </si>
  <si>
    <t>Bhenda</t>
  </si>
  <si>
    <t>Rohan Petroleum</t>
  </si>
  <si>
    <t>Hira Petroleum</t>
  </si>
  <si>
    <t>Lalke</t>
  </si>
  <si>
    <t>Sai Simran Petroleum</t>
  </si>
  <si>
    <t>Newasa Phata</t>
  </si>
  <si>
    <t>Yash Petroleum</t>
  </si>
  <si>
    <t>Sonai</t>
  </si>
  <si>
    <t>ADHOC ATHARVA PETROLEUM (41049846 Shree Sant Wamanbhau Petroleum)</t>
  </si>
  <si>
    <t>Maka</t>
  </si>
  <si>
    <t>Phulkar Namdeo Petroleum</t>
  </si>
  <si>
    <t>Newasa Budruk</t>
  </si>
  <si>
    <t>Mina Petroleum</t>
  </si>
  <si>
    <t>Deogarhphata</t>
  </si>
  <si>
    <t>JS &amp; Sons Petroleum</t>
  </si>
  <si>
    <t>Sukli</t>
  </si>
  <si>
    <t>HK &amp; Sons Petroleum</t>
  </si>
  <si>
    <t>Rakshi</t>
  </si>
  <si>
    <t>Jalindar Kadam Petroleum (Rajendra Petroleum)</t>
  </si>
  <si>
    <t>Chanda</t>
  </si>
  <si>
    <t>Sarang Petroleum</t>
  </si>
  <si>
    <t>Karhe Takli</t>
  </si>
  <si>
    <t>Vithai Petroleum</t>
  </si>
  <si>
    <t>Bhanwarwadi</t>
  </si>
  <si>
    <t>Trimurti Petroleum</t>
  </si>
  <si>
    <t>Saibaba Petroleum</t>
  </si>
  <si>
    <t>Malibabhulgaon</t>
  </si>
  <si>
    <t>Arjun Petroleum</t>
  </si>
  <si>
    <t>Karegaon</t>
  </si>
  <si>
    <t>BHAKTI-PRASAD PETROLEUM</t>
  </si>
  <si>
    <t>Waroor Khurd</t>
  </si>
  <si>
    <t>CHANDRAPRABHA PETROLEUM</t>
  </si>
  <si>
    <t>Babhulwedhe</t>
  </si>
  <si>
    <t>INACTIVE - MS/HSD SHANAISHWAR KRISHI SEV</t>
  </si>
  <si>
    <t>Shani Shingnapur</t>
  </si>
  <si>
    <t>HP Auto Care Centre Waluj (41048007)</t>
  </si>
  <si>
    <t>MSHSD HP Bidkin Highway Centre</t>
  </si>
  <si>
    <t>Bidkin Paithan</t>
  </si>
  <si>
    <t>Bidkin</t>
  </si>
  <si>
    <t>GNI Infrastructure</t>
  </si>
  <si>
    <t>Chittegaon</t>
  </si>
  <si>
    <t>Shri Siddhivinayak Petroleum</t>
  </si>
  <si>
    <t>Dahegaon</t>
  </si>
  <si>
    <t>Gangapur</t>
  </si>
  <si>
    <t>Khurana Petroleum</t>
  </si>
  <si>
    <t>Dhoregaon</t>
  </si>
  <si>
    <t>Anjali Petroleum</t>
  </si>
  <si>
    <t>Mayuri Petroleum</t>
  </si>
  <si>
    <t>Lasur Station</t>
  </si>
  <si>
    <t>Supreme Petroleum (Hamara Pump - Kasabkheda)</t>
  </si>
  <si>
    <t>Kasabkheda</t>
  </si>
  <si>
    <t>Swaraj Enterprices</t>
  </si>
  <si>
    <t>Limbe Jalgaon</t>
  </si>
  <si>
    <t>Anushree Petroleum</t>
  </si>
  <si>
    <t>Turkabad Kharadi</t>
  </si>
  <si>
    <t>Shree Krushna Petroleum</t>
  </si>
  <si>
    <t>Jogeshwari</t>
  </si>
  <si>
    <t>Chetan Petrol Pump Services</t>
  </si>
  <si>
    <t>Sidhnath Wadgaon</t>
  </si>
  <si>
    <t>HP Isarwadi Highway Centre</t>
  </si>
  <si>
    <t>Isarwadi</t>
  </si>
  <si>
    <t>Paithan</t>
  </si>
  <si>
    <t>Shri Mauli Auto Services</t>
  </si>
  <si>
    <t>Ravindra Petroleum</t>
  </si>
  <si>
    <t>Balanagar</t>
  </si>
  <si>
    <t>Janardhan Petroleum</t>
  </si>
  <si>
    <t>Dawarwadi</t>
  </si>
  <si>
    <t>Ram Automobiles Aurangabad</t>
  </si>
  <si>
    <t>Shivoor</t>
  </si>
  <si>
    <t>Vaijapur</t>
  </si>
  <si>
    <t>SP Bothra, Vaijapur</t>
  </si>
  <si>
    <t>Radha Laxmi Petroleum &amp; Enterprise</t>
  </si>
  <si>
    <t>Om Sai Petroleum</t>
  </si>
  <si>
    <t>Savkhed Gnaga</t>
  </si>
  <si>
    <t>Ramkrishna Petroleum &amp; Enterprise</t>
  </si>
  <si>
    <t>Radhika Petroleum</t>
  </si>
  <si>
    <t>Nandgaon</t>
  </si>
  <si>
    <t>Shukra Petroleum (41034475 Adhoc Om Sai Petroleum)</t>
  </si>
  <si>
    <t>Ladgaon</t>
  </si>
  <si>
    <t>Prajakta Petroleum</t>
  </si>
  <si>
    <t>Ranjangaon</t>
  </si>
  <si>
    <t>APMC Lasur</t>
  </si>
  <si>
    <t>Lasur</t>
  </si>
  <si>
    <t>Shree Laxami Petroleum</t>
  </si>
  <si>
    <t>Mudhalwadi              </t>
  </si>
  <si>
    <t>Bhau Enterprises (41066609 Adhoc Jay Petroleum)</t>
  </si>
  <si>
    <t>Mahalgaon</t>
  </si>
  <si>
    <t>Jakmatha</t>
  </si>
  <si>
    <t>APMC Gangapur</t>
  </si>
  <si>
    <t>Sambhaji Petroleum</t>
  </si>
  <si>
    <t xml:space="preserve">Eklahera     </t>
  </si>
  <si>
    <t>Adhoc Anushree Petroleum (41034141 Adhoc Sneh Petroleum)</t>
  </si>
  <si>
    <t xml:space="preserve">Anantpur    </t>
  </si>
  <si>
    <t>Adhoc Ravindra Petroleum (41036955 Adhoc Hamara Pump, Kasabkheda)</t>
  </si>
  <si>
    <t xml:space="preserve">Dawala                  </t>
  </si>
  <si>
    <t>Maharashtra State Warehousing Corp</t>
  </si>
  <si>
    <t>Jambhragaon</t>
  </si>
  <si>
    <t>Muktai Petroleum</t>
  </si>
  <si>
    <t>Shekta</t>
  </si>
  <si>
    <t>Piyush Petroleum</t>
  </si>
  <si>
    <t>Shree Gurudev Datta Krupa Petroleum</t>
  </si>
  <si>
    <t>Bhendala</t>
  </si>
  <si>
    <t>Vikrant Petroleum</t>
  </si>
  <si>
    <t>Naygaon</t>
  </si>
  <si>
    <t>Gaikwad Petreoleum</t>
  </si>
  <si>
    <t>Shree Ambika Fuels</t>
  </si>
  <si>
    <t>Fatiyabad</t>
  </si>
  <si>
    <t>Matoshree Petrol Pump</t>
  </si>
  <si>
    <t>Devgaon Rangari</t>
  </si>
  <si>
    <t>Neha Petroleum Services</t>
  </si>
  <si>
    <t>Dabhrul</t>
  </si>
  <si>
    <t xml:space="preserve">Murmi </t>
  </si>
  <si>
    <t>Prem Petrol Pump</t>
  </si>
  <si>
    <t>Karkin</t>
  </si>
  <si>
    <t>Auranagbad</t>
  </si>
  <si>
    <t>Saishram Petroleum</t>
  </si>
  <si>
    <t>Gajgaon</t>
  </si>
  <si>
    <t>BOLHAI PETROLEUM</t>
  </si>
  <si>
    <t>Kaygaon</t>
  </si>
  <si>
    <t>Adhoc Rajashree Sahu Petroleum (41048319 Anusaya Petroleum)</t>
  </si>
  <si>
    <t>Murma</t>
  </si>
  <si>
    <t>Mahalaxmi Auto Centre Ambad</t>
  </si>
  <si>
    <t>Ambad</t>
  </si>
  <si>
    <t>Jalna</t>
  </si>
  <si>
    <t>Rajashree Sahu Petroleum</t>
  </si>
  <si>
    <t>Pachod</t>
  </si>
  <si>
    <t>EL Naik Bhagwan Petroleum</t>
  </si>
  <si>
    <t>Wadigodri</t>
  </si>
  <si>
    <t>Nirankari Petroleum</t>
  </si>
  <si>
    <t>Badnapur</t>
  </si>
  <si>
    <t>Sarthi Petroleum</t>
  </si>
  <si>
    <t>Dhawalwadi</t>
  </si>
  <si>
    <t>Shree Ganpati  Agency Rajur</t>
  </si>
  <si>
    <t>Rajur</t>
  </si>
  <si>
    <t>Bhokardhan</t>
  </si>
  <si>
    <t>Rameshwar Agency</t>
  </si>
  <si>
    <t>Bhokardan</t>
  </si>
  <si>
    <t>Vajreshwar Petroleum</t>
  </si>
  <si>
    <t>Hasnabad</t>
  </si>
  <si>
    <t>Shri Ganpati Petroleum</t>
  </si>
  <si>
    <t>Shree Vajreshwar Petroleum</t>
  </si>
  <si>
    <t>Kedarkheda</t>
  </si>
  <si>
    <t xml:space="preserve">Jalna </t>
  </si>
  <si>
    <t>Udhan Krishi Services</t>
  </si>
  <si>
    <t>Kumbhar Pimpalgaon</t>
  </si>
  <si>
    <t>Ghansawangi</t>
  </si>
  <si>
    <t>Shivgaya Petroleum</t>
  </si>
  <si>
    <t>Thithpuri</t>
  </si>
  <si>
    <t>OM SAI AGENCIES (41079319 Adhoc Sugat Petroleum)</t>
  </si>
  <si>
    <t>Tembhurni</t>
  </si>
  <si>
    <t>Jafrabad</t>
  </si>
  <si>
    <t>Sugat Petroleum</t>
  </si>
  <si>
    <t>Jalna AP Patel &amp; Co.</t>
  </si>
  <si>
    <t>Ashish Petroleum</t>
  </si>
  <si>
    <t>Nagewadi</t>
  </si>
  <si>
    <t>Devchand Chaturbhuj Sheth</t>
  </si>
  <si>
    <t>Totala Auto Service</t>
  </si>
  <si>
    <t>Mhasrul</t>
  </si>
  <si>
    <t>Swaraj Petroleum</t>
  </si>
  <si>
    <t>Viregaon</t>
  </si>
  <si>
    <t>Navkar Fuelling Station</t>
  </si>
  <si>
    <t>Nav Village</t>
  </si>
  <si>
    <t>Jangde Petroleum</t>
  </si>
  <si>
    <t>Durga Petroleum</t>
  </si>
  <si>
    <t>Warudi</t>
  </si>
  <si>
    <t>Shantanu Petroleum</t>
  </si>
  <si>
    <t>Mantha</t>
  </si>
  <si>
    <t>Ahire Petroleum</t>
  </si>
  <si>
    <t>Dhoksal</t>
  </si>
  <si>
    <t>Neminath Baba Petroleum</t>
  </si>
  <si>
    <t>Jai Hind Petroleum</t>
  </si>
  <si>
    <t>Watur Phata</t>
  </si>
  <si>
    <t>Partur</t>
  </si>
  <si>
    <t>Shri Krishna Automobiles</t>
  </si>
  <si>
    <t>Yashraj Petroleum</t>
  </si>
  <si>
    <t>Watur</t>
  </si>
  <si>
    <t>Sandeep Automobiles</t>
  </si>
  <si>
    <t>Seema Petroleum</t>
  </si>
  <si>
    <t>Kanakwadi</t>
  </si>
  <si>
    <t>Sindhu Petroleum</t>
  </si>
  <si>
    <t>Touheed Petroleum</t>
  </si>
  <si>
    <t>Vishal Corner</t>
  </si>
  <si>
    <t>Paras Petroleum</t>
  </si>
  <si>
    <t>Panshendra</t>
  </si>
  <si>
    <t xml:space="preserve">Shahgadh  </t>
  </si>
  <si>
    <t>Kakde Petroleum</t>
  </si>
  <si>
    <t>Shri Vitthal Petroleum</t>
  </si>
  <si>
    <t>Singona</t>
  </si>
  <si>
    <t>Chaitanya Petroleum</t>
  </si>
  <si>
    <t>Sindhi Kalegaon</t>
  </si>
  <si>
    <t>Rathod Fuel Station</t>
  </si>
  <si>
    <t>Kendhali</t>
  </si>
  <si>
    <t>Sarthi Fuel Station</t>
  </si>
  <si>
    <t>Shri Renukai Petroleum</t>
  </si>
  <si>
    <t>Danapur</t>
  </si>
  <si>
    <t>Jaiswal Petroleum</t>
  </si>
  <si>
    <t>Bodhalapuri</t>
  </si>
  <si>
    <t>Adhoc Shri Sai Petroleum</t>
  </si>
  <si>
    <t>Gundewadi</t>
  </si>
  <si>
    <t>Shinde Chintamani Petroleum</t>
  </si>
  <si>
    <t>Vasantnagar</t>
  </si>
  <si>
    <t>Maheshwari Petroleum</t>
  </si>
  <si>
    <t>Dabhadi</t>
  </si>
  <si>
    <t>KISAN PETROLEUM</t>
  </si>
  <si>
    <t>Kautha</t>
  </si>
  <si>
    <t>Kaka Petroleum</t>
  </si>
  <si>
    <t>Zomala</t>
  </si>
  <si>
    <t>Satguru Highway</t>
  </si>
  <si>
    <t>Chikhli</t>
  </si>
  <si>
    <t>Renuka Petrol Pump</t>
  </si>
  <si>
    <t>Shree Sairam Petroleum</t>
  </si>
  <si>
    <t>Undri</t>
  </si>
  <si>
    <t>Dandge Petroleum</t>
  </si>
  <si>
    <t>Baba Petroleum</t>
  </si>
  <si>
    <t>Padmabuddhi Petroleum</t>
  </si>
  <si>
    <t>Deulgaon Raja</t>
  </si>
  <si>
    <t>Shree Vaibhav Petroleum</t>
  </si>
  <si>
    <t>Lonar</t>
  </si>
  <si>
    <t>Kalica Mata Petroleum</t>
  </si>
  <si>
    <t>Mishra Bros. Lavala</t>
  </si>
  <si>
    <t>Lavala</t>
  </si>
  <si>
    <t>Mehkar</t>
  </si>
  <si>
    <t>ADHOC V R KENDRE PETROLEUM (41066839 Adhoc VR Petroleum)</t>
  </si>
  <si>
    <t>Shri Balaji Petrol Pump</t>
  </si>
  <si>
    <t>Satyajeet Petrol Pump</t>
  </si>
  <si>
    <t>Shree Bhalchandreshwar Petroleum</t>
  </si>
  <si>
    <t>Janephal</t>
  </si>
  <si>
    <t>Jijamata Petroleum</t>
  </si>
  <si>
    <t>Sindkhed Raja</t>
  </si>
  <si>
    <t>Shriyaan Petroleum</t>
  </si>
  <si>
    <t>Malkapur Pangra</t>
  </si>
  <si>
    <t>VR Kendre Petroleum</t>
  </si>
  <si>
    <t>Kingaon Raja</t>
  </si>
  <si>
    <t>Adhoc Shree Bhalchandreshwar Petrol (41036957 Adhoc Satguru Highway)</t>
  </si>
  <si>
    <t xml:space="preserve">Dongaon                 </t>
  </si>
  <si>
    <t>Aditya Petroleum</t>
  </si>
  <si>
    <t>Berala</t>
  </si>
  <si>
    <t>Soham Petroleum</t>
  </si>
  <si>
    <t>Shri Mauli Petroleum</t>
  </si>
  <si>
    <t>Kumbhari</t>
  </si>
  <si>
    <t>Kathole Petroleum</t>
  </si>
  <si>
    <t>Khairav</t>
  </si>
  <si>
    <t>Shaheed Petroleum</t>
  </si>
  <si>
    <t>Dagadwadi</t>
  </si>
  <si>
    <t>VR Petroleum</t>
  </si>
  <si>
    <t>Dusarbid</t>
  </si>
  <si>
    <t>Mahatma Phule Krishi Vidyapeeth</t>
  </si>
  <si>
    <t>Rahuri</t>
  </si>
  <si>
    <t>Charudut Oil Agency</t>
  </si>
  <si>
    <t>Shivajinagar</t>
  </si>
  <si>
    <t>Madhav Petroleum</t>
  </si>
  <si>
    <t>Wambori</t>
  </si>
  <si>
    <t>ADHOC APMC RAHURI(41063606 Adhoc Suryabhan Patil Tambe Sons)</t>
  </si>
  <si>
    <t>Vaishnavi Petroleum</t>
  </si>
  <si>
    <t xml:space="preserve">Wambori </t>
  </si>
  <si>
    <t>SB Dhasal Petroleum</t>
  </si>
  <si>
    <t>Palve Petroleum</t>
  </si>
  <si>
    <t>Gadadhe Akhada</t>
  </si>
  <si>
    <t>Laxmi Petroleum - Akole</t>
  </si>
  <si>
    <t>Akole</t>
  </si>
  <si>
    <t>Shriniwas Service Station</t>
  </si>
  <si>
    <t>Om Sai Fuels</t>
  </si>
  <si>
    <t>Khanapur</t>
  </si>
  <si>
    <t>Shri Gurudatta Petroleum</t>
  </si>
  <si>
    <t>Rumbhodi</t>
  </si>
  <si>
    <t>Agasti Petroleum</t>
  </si>
  <si>
    <t>Virgaon</t>
  </si>
  <si>
    <t>Borawake Brothers</t>
  </si>
  <si>
    <t>Kopargaon</t>
  </si>
  <si>
    <t>DP Kale</t>
  </si>
  <si>
    <t>Jay Janardhan Petroleum</t>
  </si>
  <si>
    <t>Kokamthan</t>
  </si>
  <si>
    <t>Shri Sai Samarth Petroleum</t>
  </si>
  <si>
    <t>Shri Sai Kisan Vikas Kendra</t>
  </si>
  <si>
    <t>Pohegaon</t>
  </si>
  <si>
    <t>Sai Saheba Petroleum</t>
  </si>
  <si>
    <t>Suregaon</t>
  </si>
  <si>
    <t>Sai Krishna Petroleum</t>
  </si>
  <si>
    <t>Astegaon</t>
  </si>
  <si>
    <t>Rahata</t>
  </si>
  <si>
    <t>Joshi Petroleum</t>
  </si>
  <si>
    <t>Velhale</t>
  </si>
  <si>
    <t>Jai Sai Petroleum</t>
  </si>
  <si>
    <t>Takli Bhan</t>
  </si>
  <si>
    <t>Saraja Petroleum</t>
  </si>
  <si>
    <t>Mamdapur</t>
  </si>
  <si>
    <t>Borawake Bros. HP Dealers</t>
  </si>
  <si>
    <t>Ganesh SS Karkhana Ltd.</t>
  </si>
  <si>
    <t>Ganeshnagar</t>
  </si>
  <si>
    <t>Bhausaheb Vithalrao Vikhe &amp; Co.</t>
  </si>
  <si>
    <t>Loni Bk</t>
  </si>
  <si>
    <t>Loni Budruk MP Cooperative</t>
  </si>
  <si>
    <t>Puntamba</t>
  </si>
  <si>
    <t>Sai Kaveri Petroleum</t>
  </si>
  <si>
    <t>Lohgaon</t>
  </si>
  <si>
    <t>Dinkarrao Jagtap Petroleum</t>
  </si>
  <si>
    <t>Kolhar</t>
  </si>
  <si>
    <t>SKGS Sai Siddhi Petroleum</t>
  </si>
  <si>
    <t>Shirdi</t>
  </si>
  <si>
    <t>Laxmi Balaji Petroleum</t>
  </si>
  <si>
    <t>Wadgaonpan</t>
  </si>
  <si>
    <t>Sangamner</t>
  </si>
  <si>
    <t>Shivdas Ramratan &amp; Co.</t>
  </si>
  <si>
    <t>Kamal Petrol Depot</t>
  </si>
  <si>
    <t>Aishwarya Filling Station</t>
  </si>
  <si>
    <t>Bamblewadi</t>
  </si>
  <si>
    <t>Om Petroleum</t>
  </si>
  <si>
    <t>Talegaon</t>
  </si>
  <si>
    <t>Rukmini Petroleum</t>
  </si>
  <si>
    <t>Samnapur</t>
  </si>
  <si>
    <t>Om Shri Sai Petroleum</t>
  </si>
  <si>
    <t>Mangalapur</t>
  </si>
  <si>
    <t>Sai Balaji Petroleum</t>
  </si>
  <si>
    <t>Kasare</t>
  </si>
  <si>
    <t>Haribaba Petroleum</t>
  </si>
  <si>
    <t>Sneh Petroleum</t>
  </si>
  <si>
    <t>Hivergaon Pavsa</t>
  </si>
  <si>
    <t>Suryabhan Patil Tambe &amp; Sons</t>
  </si>
  <si>
    <t>Chinchpur Kh</t>
  </si>
  <si>
    <t>SR Navalepatil Petroleum</t>
  </si>
  <si>
    <t>Nimgaon Jalli</t>
  </si>
  <si>
    <t>Sai Amrut Petroleum</t>
  </si>
  <si>
    <t>Sangamner Khurd</t>
  </si>
  <si>
    <t>Ovikiran Petroleum</t>
  </si>
  <si>
    <t>Karule</t>
  </si>
  <si>
    <t>Shri Sai Balaji Petroleum</t>
  </si>
  <si>
    <t>Ghargaon</t>
  </si>
  <si>
    <t>Ramchand &amp; Sons</t>
  </si>
  <si>
    <t>Shrirampur</t>
  </si>
  <si>
    <t>INACTIVE Shrirampur Taluka Khar</t>
  </si>
  <si>
    <t>Ashok SSK Ltd</t>
  </si>
  <si>
    <t>Pragatinagar</t>
  </si>
  <si>
    <t>Hari Om Petroleum</t>
  </si>
  <si>
    <t>Taklimiya</t>
  </si>
  <si>
    <t>INACTIVE Saish Petroleum</t>
  </si>
  <si>
    <t>Jeur Kumbhari</t>
  </si>
  <si>
    <t>APMC Shrirampur</t>
  </si>
  <si>
    <t>Shirasgaon</t>
  </si>
  <si>
    <t>Shivsai Petroleum</t>
  </si>
  <si>
    <t>Swatantrasenani PW Pawar Fuels</t>
  </si>
  <si>
    <t>Khadambe Bk</t>
  </si>
  <si>
    <t>APMC Akole Kotul</t>
  </si>
  <si>
    <t>Kotul</t>
  </si>
  <si>
    <t>APMC Rahuri</t>
  </si>
  <si>
    <t>Ananya Petroleum</t>
  </si>
  <si>
    <t>Nimgaon Khairi</t>
  </si>
  <si>
    <t>Salunke Fuel</t>
  </si>
  <si>
    <t>Belapur</t>
  </si>
  <si>
    <t>Aakash Petroleum</t>
  </si>
  <si>
    <t>Zarekathi</t>
  </si>
  <si>
    <t>APMC Sangamner</t>
  </si>
  <si>
    <t>Gururaj Petroleum</t>
  </si>
  <si>
    <t>Sanvatsar</t>
  </si>
  <si>
    <t>Raskar Pettroleum</t>
  </si>
  <si>
    <t>Dosti Petroleum</t>
  </si>
  <si>
    <t>Bota</t>
  </si>
  <si>
    <t>REGION</t>
  </si>
  <si>
    <t>RUKHUMAI PETROLEUM</t>
  </si>
  <si>
    <t xml:space="preserve">ADHOC SEEMA PETROLEUM(41067444 Adhoc Yashraj Petroleum) </t>
  </si>
  <si>
    <t>YOGESHWARI PETROLEUM</t>
  </si>
  <si>
    <t>ADHOC YASHRAJ PETROLEUM (41034132 Moreshwar Highway Services)</t>
  </si>
  <si>
    <t>ADHOC VAIBHAV PETROLEUM (41054466 Indrajeet Petroleum)</t>
  </si>
  <si>
    <t>41092717</t>
  </si>
  <si>
    <t>ORANGE VALLEY PETROLEUM</t>
  </si>
  <si>
    <t>Jeur</t>
  </si>
  <si>
    <t>MALHAR PETROLEUM</t>
  </si>
  <si>
    <t>WALADGOAN</t>
  </si>
  <si>
    <t>AVDHUT PETRO WORLD</t>
  </si>
  <si>
    <t>MAHALAKSHMI PETROLEUM</t>
  </si>
  <si>
    <t>WARKHED</t>
  </si>
  <si>
    <t>Manish Petrol Pump</t>
  </si>
  <si>
    <t>Birsingpur</t>
  </si>
  <si>
    <t>Shri Balaji Fuel Station (41078628 Adhoc Shrikrupa Petroleum)</t>
  </si>
  <si>
    <t>VRL Petroleum</t>
  </si>
  <si>
    <t>Sindkhedraja</t>
  </si>
  <si>
    <t>ADHOC NIRMALA AUTO CARE CENTRE (41048945 Surya Petroleum)</t>
  </si>
  <si>
    <t>41090766</t>
  </si>
  <si>
    <t>BALUMAMA PETROLEUM</t>
  </si>
  <si>
    <t>Bhistabag</t>
  </si>
  <si>
    <t>SHREE VATESHWAR PETROLEUM</t>
  </si>
  <si>
    <t>AAPOTI BK</t>
  </si>
  <si>
    <t>SAI AARYA PETROLEUM, PIMPRI(41092480 ADHOC HP SUNDERWADI HIGHWAY CEN)</t>
  </si>
  <si>
    <t xml:space="preserve">PRAJ PETROLEUM </t>
  </si>
  <si>
    <t>BHENDE BUDRUK</t>
  </si>
  <si>
    <t>DHUMAL PETROLEUM</t>
  </si>
  <si>
    <t>DHANDEWADI</t>
  </si>
  <si>
    <t>BABJI FUELS</t>
  </si>
  <si>
    <t>SHREE SUPO PETROLEUM (Suman Auto Service)</t>
  </si>
  <si>
    <t>KASHIVISHWESHWAR PETROLEUM</t>
  </si>
  <si>
    <t>KHANDALA</t>
  </si>
  <si>
    <t>ADIKHUSH FUELS</t>
  </si>
  <si>
    <t>TALWADA</t>
  </si>
  <si>
    <t>HPCL SALES FOR THE MONTH : APRIL 2026</t>
  </si>
  <si>
    <t>NIL</t>
  </si>
  <si>
    <t>Sanvi Petroleum (Aditya Petroleum)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</si>
</sst>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0;\-;@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rgb="FFFFFFFF"/>
      <name val="Arial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C0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222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4" fillId="0" borderId="0"/>
    <xf numFmtId="0" fontId="8" fillId="0" borderId="0"/>
    <xf numFmtId="0" fontId="2" fillId="0" borderId="0"/>
  </cellStyleXfs>
  <cellXfs count="102">
    <xf numFmtId="0" fontId="0" fillId="0" borderId="0" xfId="0"/>
    <xf numFmtId="0" fontId="0" fillId="0" borderId="0" xfId="0" applyFont="1" applyFill="1"/>
    <xf numFmtId="0" fontId="0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Fill="1" applyBorder="1"/>
    <xf numFmtId="1" fontId="1" fillId="0" borderId="0" xfId="0" applyNumberFormat="1" applyFont="1" applyFill="1" applyBorder="1" applyAlignment="1">
      <alignment horizont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wrapText="1"/>
    </xf>
    <xf numFmtId="0" fontId="7" fillId="3" borderId="2" xfId="0" applyFont="1" applyFill="1" applyBorder="1" applyAlignment="1">
      <alignment horizontal="right" vertical="top" wrapText="1"/>
    </xf>
    <xf numFmtId="0" fontId="0" fillId="0" borderId="0" xfId="0" applyFont="1" applyAlignment="1"/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/>
    <xf numFmtId="0" fontId="0" fillId="0" borderId="4" xfId="0" applyFont="1" applyFill="1" applyBorder="1" applyAlignment="1">
      <alignment vertical="center"/>
    </xf>
    <xf numFmtId="0" fontId="0" fillId="0" borderId="0" xfId="0" applyFont="1" applyBorder="1" applyAlignment="1"/>
    <xf numFmtId="0" fontId="0" fillId="0" borderId="0" xfId="0" applyFont="1" applyBorder="1" applyAlignment="1">
      <alignment horizontal="center" wrapText="1"/>
    </xf>
    <xf numFmtId="0" fontId="0" fillId="0" borderId="0" xfId="0" applyFont="1" applyFill="1" applyBorder="1" applyAlignment="1"/>
    <xf numFmtId="0" fontId="0" fillId="0" borderId="0" xfId="0" applyFont="1" applyFill="1" applyBorder="1" applyAlignment="1">
      <alignment horizontal="center" wrapText="1"/>
    </xf>
    <xf numFmtId="0" fontId="0" fillId="0" borderId="0" xfId="0" applyFont="1" applyFill="1" applyBorder="1"/>
    <xf numFmtId="0" fontId="13" fillId="0" borderId="3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6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6" fillId="0" borderId="8" xfId="0" applyFont="1" applyFill="1" applyBorder="1" applyAlignment="1">
      <alignment horizontal="center" vertical="center" wrapText="1"/>
    </xf>
    <xf numFmtId="0" fontId="14" fillId="0" borderId="8" xfId="2" applyNumberFormat="1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1" fontId="1" fillId="4" borderId="6" xfId="0" applyNumberFormat="1" applyFon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1" fontId="1" fillId="0" borderId="0" xfId="0" applyNumberFormat="1" applyFont="1" applyBorder="1"/>
    <xf numFmtId="0" fontId="1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164" fontId="1" fillId="0" borderId="0" xfId="0" applyNumberFormat="1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9" fillId="0" borderId="11" xfId="2" quotePrefix="1" applyFont="1" applyBorder="1" applyAlignment="1">
      <alignment horizontal="center" vertical="center" wrapText="1"/>
    </xf>
    <xf numFmtId="1" fontId="9" fillId="0" borderId="11" xfId="2" quotePrefix="1" applyNumberFormat="1" applyFont="1" applyBorder="1" applyAlignment="1">
      <alignment horizontal="center" vertical="center" wrapText="1"/>
    </xf>
    <xf numFmtId="0" fontId="9" fillId="0" borderId="11" xfId="2" applyFont="1" applyBorder="1" applyAlignment="1">
      <alignment horizontal="left"/>
    </xf>
    <xf numFmtId="0" fontId="0" fillId="0" borderId="5" xfId="0" applyBorder="1" applyAlignment="1">
      <alignment horizontal="center"/>
    </xf>
    <xf numFmtId="0" fontId="9" fillId="0" borderId="1" xfId="2" quotePrefix="1" applyFont="1" applyBorder="1" applyAlignment="1">
      <alignment horizontal="center" vertical="center" wrapText="1"/>
    </xf>
    <xf numFmtId="1" fontId="9" fillId="0" borderId="1" xfId="2" quotePrefix="1" applyNumberFormat="1" applyFont="1" applyBorder="1" applyAlignment="1">
      <alignment horizontal="center" vertical="center" wrapText="1"/>
    </xf>
    <xf numFmtId="0" fontId="9" fillId="0" borderId="1" xfId="2" applyFont="1" applyBorder="1" applyAlignment="1">
      <alignment horizontal="left"/>
    </xf>
    <xf numFmtId="0" fontId="9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 wrapText="1"/>
    </xf>
    <xf numFmtId="0" fontId="10" fillId="0" borderId="1" xfId="2" quotePrefix="1" applyFont="1" applyBorder="1" applyAlignment="1">
      <alignment horizontal="center" vertical="center" wrapText="1"/>
    </xf>
    <xf numFmtId="0" fontId="9" fillId="0" borderId="1" xfId="4" applyFont="1" applyBorder="1" applyAlignment="1">
      <alignment horizontal="center" vertical="center"/>
    </xf>
    <xf numFmtId="0" fontId="9" fillId="0" borderId="1" xfId="2" applyFont="1" applyBorder="1" applyAlignment="1">
      <alignment horizontal="center"/>
    </xf>
    <xf numFmtId="0" fontId="11" fillId="0" borderId="1" xfId="4" applyFont="1" applyBorder="1" applyAlignment="1">
      <alignment horizontal="center" vertical="top" wrapText="1" readingOrder="1"/>
    </xf>
    <xf numFmtId="0" fontId="9" fillId="0" borderId="1" xfId="4" applyFont="1" applyBorder="1" applyAlignment="1">
      <alignment horizontal="center"/>
    </xf>
    <xf numFmtId="0" fontId="10" fillId="0" borderId="1" xfId="0" applyFont="1" applyBorder="1"/>
    <xf numFmtId="0" fontId="9" fillId="0" borderId="12" xfId="4" applyFont="1" applyBorder="1" applyAlignment="1">
      <alignment horizontal="center"/>
    </xf>
    <xf numFmtId="1" fontId="9" fillId="0" borderId="12" xfId="2" quotePrefix="1" applyNumberFormat="1" applyFont="1" applyBorder="1" applyAlignment="1">
      <alignment horizontal="center" vertical="center" wrapText="1"/>
    </xf>
    <xf numFmtId="0" fontId="9" fillId="0" borderId="12" xfId="2" applyFont="1" applyBorder="1" applyAlignment="1">
      <alignment horizontal="left"/>
    </xf>
    <xf numFmtId="49" fontId="18" fillId="0" borderId="16" xfId="0" applyNumberFormat="1" applyFont="1" applyBorder="1"/>
    <xf numFmtId="0" fontId="9" fillId="0" borderId="1" xfId="4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12" fillId="0" borderId="1" xfId="2" quotePrefix="1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/>
    </xf>
    <xf numFmtId="0" fontId="10" fillId="0" borderId="1" xfId="2" applyFont="1" applyBorder="1" applyAlignment="1">
      <alignment horizontal="center"/>
    </xf>
    <xf numFmtId="49" fontId="18" fillId="0" borderId="13" xfId="0" applyNumberFormat="1" applyFont="1" applyBorder="1"/>
    <xf numFmtId="0" fontId="17" fillId="8" borderId="1" xfId="0" applyFont="1" applyFill="1" applyBorder="1" applyAlignment="1">
      <alignment horizontal="center" vertical="center" wrapText="1"/>
    </xf>
    <xf numFmtId="1" fontId="9" fillId="0" borderId="1" xfId="4" applyNumberFormat="1" applyFont="1" applyBorder="1" applyAlignment="1">
      <alignment horizontal="center" vertical="center"/>
    </xf>
    <xf numFmtId="0" fontId="9" fillId="0" borderId="1" xfId="2" applyFont="1" applyBorder="1"/>
    <xf numFmtId="0" fontId="11" fillId="0" borderId="1" xfId="4" applyFont="1" applyBorder="1" applyAlignment="1">
      <alignment horizontal="center" vertical="center" wrapText="1"/>
    </xf>
    <xf numFmtId="0" fontId="10" fillId="0" borderId="1" xfId="4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1" fontId="15" fillId="0" borderId="1" xfId="2" quotePrefix="1" applyNumberFormat="1" applyFont="1" applyBorder="1" applyAlignment="1">
      <alignment horizontal="center" vertical="center" wrapText="1"/>
    </xf>
    <xf numFmtId="0" fontId="9" fillId="0" borderId="1" xfId="4" applyFont="1" applyBorder="1" applyAlignment="1">
      <alignment horizontal="center" wrapText="1"/>
    </xf>
    <xf numFmtId="0" fontId="1" fillId="0" borderId="14" xfId="0" applyFont="1" applyBorder="1" applyAlignment="1">
      <alignment horizontal="center"/>
    </xf>
    <xf numFmtId="0" fontId="1" fillId="0" borderId="15" xfId="0" applyFont="1" applyBorder="1"/>
    <xf numFmtId="1" fontId="1" fillId="0" borderId="15" xfId="0" applyNumberFormat="1" applyFont="1" applyBorder="1"/>
    <xf numFmtId="0" fontId="1" fillId="0" borderId="15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164" fontId="1" fillId="2" borderId="14" xfId="0" applyNumberFormat="1" applyFont="1" applyFill="1" applyBorder="1" applyAlignment="1">
      <alignment horizontal="center"/>
    </xf>
    <xf numFmtId="49" fontId="18" fillId="0" borderId="17" xfId="0" applyNumberFormat="1" applyFont="1" applyBorder="1"/>
    <xf numFmtId="0" fontId="10" fillId="7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left"/>
    </xf>
    <xf numFmtId="164" fontId="1" fillId="2" borderId="18" xfId="0" applyNumberFormat="1" applyFont="1" applyFill="1" applyBorder="1" applyAlignment="1">
      <alignment horizontal="center"/>
    </xf>
    <xf numFmtId="49" fontId="18" fillId="0" borderId="0" xfId="0" applyNumberFormat="1" applyFont="1" applyBorder="1"/>
    <xf numFmtId="0" fontId="0" fillId="0" borderId="0" xfId="0" applyBorder="1"/>
    <xf numFmtId="0" fontId="14" fillId="0" borderId="19" xfId="2" applyNumberFormat="1" applyFont="1" applyFill="1" applyBorder="1" applyAlignment="1">
      <alignment horizontal="center" vertical="center"/>
    </xf>
    <xf numFmtId="0" fontId="9" fillId="0" borderId="20" xfId="2" applyFont="1" applyBorder="1" applyAlignment="1">
      <alignment horizontal="left"/>
    </xf>
    <xf numFmtId="0" fontId="9" fillId="0" borderId="21" xfId="2" applyFont="1" applyBorder="1" applyAlignment="1">
      <alignment horizontal="left"/>
    </xf>
    <xf numFmtId="0" fontId="10" fillId="0" borderId="21" xfId="0" applyFont="1" applyBorder="1"/>
    <xf numFmtId="0" fontId="9" fillId="0" borderId="22" xfId="2" applyFont="1" applyBorder="1" applyAlignment="1">
      <alignment horizontal="left"/>
    </xf>
    <xf numFmtId="0" fontId="1" fillId="0" borderId="23" xfId="0" applyFont="1" applyBorder="1" applyAlignment="1">
      <alignment horizontal="right"/>
    </xf>
    <xf numFmtId="0" fontId="1" fillId="5" borderId="24" xfId="0" applyFont="1" applyFill="1" applyBorder="1" applyAlignment="1">
      <alignment horizontal="center" vertical="center" wrapText="1"/>
    </xf>
    <xf numFmtId="1" fontId="1" fillId="4" borderId="25" xfId="0" applyNumberFormat="1" applyFont="1" applyFill="1" applyBorder="1" applyAlignment="1">
      <alignment horizontal="center"/>
    </xf>
    <xf numFmtId="164" fontId="1" fillId="2" borderId="26" xfId="0" applyNumberFormat="1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 vertical="center" wrapText="1"/>
    </xf>
    <xf numFmtId="164" fontId="0" fillId="0" borderId="27" xfId="0" applyNumberFormat="1" applyBorder="1" applyAlignment="1">
      <alignment horizont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</cellXfs>
  <cellStyles count="5">
    <cellStyle name="Normal" xfId="0" builtinId="0"/>
    <cellStyle name="Normal 2" xfId="3" xr:uid="{00000000-0005-0000-0000-000001000000}"/>
    <cellStyle name="Normal 2 2" xfId="4" xr:uid="{00000000-0005-0000-0000-000002000000}"/>
    <cellStyle name="Normal 3 2" xfId="1" xr:uid="{00000000-0005-0000-0000-000003000000}"/>
    <cellStyle name="Normal_MSHSD2000" xfId="2" xr:uid="{00000000-0005-0000-0000-000004000000}"/>
  </cellStyles>
  <dxfs count="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62"/>
  <sheetViews>
    <sheetView tabSelected="1" zoomScale="86" zoomScaleNormal="86" workbookViewId="0">
      <pane xSplit="7" ySplit="2" topLeftCell="H444" activePane="bottomRight" state="frozen"/>
      <selection pane="topRight" activeCell="H1" sqref="H1"/>
      <selection pane="bottomLeft" activeCell="A3" sqref="A3"/>
      <selection pane="bottomRight" activeCell="L451" sqref="L451"/>
    </sheetView>
  </sheetViews>
  <sheetFormatPr defaultColWidth="9.1796875" defaultRowHeight="14.5" x14ac:dyDescent="0.35"/>
  <cols>
    <col min="1" max="1" width="5.54296875" style="2" customWidth="1"/>
    <col min="2" max="2" width="11.1796875" style="2" customWidth="1"/>
    <col min="3" max="3" width="11.1796875" style="1" customWidth="1"/>
    <col min="4" max="4" width="39" style="9" customWidth="1"/>
    <col min="5" max="6" width="14.54296875" style="9" customWidth="1"/>
    <col min="7" max="7" width="14.54296875" style="2" customWidth="1"/>
    <col min="8" max="8" width="10.26953125" style="7" customWidth="1"/>
    <col min="9" max="9" width="10.1796875" style="7" customWidth="1"/>
    <col min="10" max="10" width="10.54296875" style="7" customWidth="1"/>
    <col min="11" max="11" width="9.7265625" style="7" customWidth="1"/>
    <col min="12" max="12" width="8.81640625" style="13" customWidth="1"/>
    <col min="13" max="16" width="9.1796875" style="2"/>
    <col min="17" max="17" width="11.7265625" style="2" customWidth="1"/>
    <col min="18" max="16384" width="9.1796875" style="2"/>
  </cols>
  <sheetData>
    <row r="1" spans="1:12" s="6" customFormat="1" ht="33.75" customHeight="1" thickBot="1" x14ac:dyDescent="0.4">
      <c r="A1" s="20" t="s">
        <v>868</v>
      </c>
      <c r="B1" s="10"/>
      <c r="C1" s="14"/>
      <c r="D1" s="10"/>
      <c r="E1" s="10"/>
      <c r="F1" s="10"/>
      <c r="G1" s="10"/>
      <c r="H1" s="100" t="s">
        <v>18</v>
      </c>
      <c r="I1" s="101"/>
      <c r="J1" s="101"/>
      <c r="K1" s="101"/>
      <c r="L1" s="11"/>
    </row>
    <row r="2" spans="1:12" s="3" customFormat="1" ht="15" thickBot="1" x14ac:dyDescent="0.4">
      <c r="A2" s="40" t="s">
        <v>27</v>
      </c>
      <c r="B2" s="27" t="s">
        <v>0</v>
      </c>
      <c r="C2" s="27" t="s">
        <v>19</v>
      </c>
      <c r="D2" s="41" t="s">
        <v>8</v>
      </c>
      <c r="E2" s="28" t="s">
        <v>1</v>
      </c>
      <c r="F2" s="28" t="s">
        <v>2</v>
      </c>
      <c r="G2" s="89" t="s">
        <v>3</v>
      </c>
      <c r="H2" s="98" t="s">
        <v>17</v>
      </c>
      <c r="I2" s="29" t="s">
        <v>5</v>
      </c>
      <c r="J2" s="30" t="s">
        <v>6</v>
      </c>
      <c r="K2" s="95" t="s">
        <v>7</v>
      </c>
      <c r="L2" s="12"/>
    </row>
    <row r="3" spans="1:12" s="1" customFormat="1" ht="15" customHeight="1" thickBot="1" x14ac:dyDescent="0.4">
      <c r="A3" s="42">
        <v>1</v>
      </c>
      <c r="B3" s="43">
        <v>12534940</v>
      </c>
      <c r="C3" s="44">
        <v>41051290</v>
      </c>
      <c r="D3" s="45" t="s">
        <v>30</v>
      </c>
      <c r="E3" s="45" t="s">
        <v>31</v>
      </c>
      <c r="F3" s="45" t="s">
        <v>32</v>
      </c>
      <c r="G3" s="90" t="s">
        <v>33</v>
      </c>
      <c r="H3" s="32">
        <v>54</v>
      </c>
      <c r="I3" s="31">
        <v>57</v>
      </c>
      <c r="J3" s="99">
        <v>174</v>
      </c>
      <c r="K3" s="96">
        <v>159</v>
      </c>
    </row>
    <row r="4" spans="1:12" s="1" customFormat="1" ht="15" customHeight="1" thickBot="1" x14ac:dyDescent="0.4">
      <c r="A4" s="46">
        <f t="shared" ref="A4:A67" si="0">+A3+1</f>
        <v>2</v>
      </c>
      <c r="B4" s="47">
        <v>11348210</v>
      </c>
      <c r="C4" s="48">
        <v>41051147</v>
      </c>
      <c r="D4" s="49" t="s">
        <v>34</v>
      </c>
      <c r="E4" s="49" t="s">
        <v>32</v>
      </c>
      <c r="F4" s="49" t="s">
        <v>32</v>
      </c>
      <c r="G4" s="91" t="s">
        <v>33</v>
      </c>
      <c r="H4" s="32">
        <v>12</v>
      </c>
      <c r="I4" s="31">
        <v>12</v>
      </c>
      <c r="J4" s="99">
        <v>48</v>
      </c>
      <c r="K4" s="96">
        <v>36</v>
      </c>
    </row>
    <row r="5" spans="1:12" s="1" customFormat="1" ht="15" customHeight="1" thickBot="1" x14ac:dyDescent="0.4">
      <c r="A5" s="46">
        <f t="shared" si="0"/>
        <v>3</v>
      </c>
      <c r="B5" s="50">
        <v>12265700</v>
      </c>
      <c r="C5" s="48">
        <v>41055291</v>
      </c>
      <c r="D5" s="49" t="s">
        <v>35</v>
      </c>
      <c r="E5" s="49" t="s">
        <v>36</v>
      </c>
      <c r="F5" s="49" t="s">
        <v>37</v>
      </c>
      <c r="G5" s="91" t="s">
        <v>33</v>
      </c>
      <c r="H5" s="32">
        <v>80</v>
      </c>
      <c r="I5" s="31">
        <v>74</v>
      </c>
      <c r="J5" s="99">
        <v>160</v>
      </c>
      <c r="K5" s="96">
        <v>190</v>
      </c>
    </row>
    <row r="6" spans="1:12" s="1" customFormat="1" ht="15" customHeight="1" thickBot="1" x14ac:dyDescent="0.4">
      <c r="A6" s="46">
        <f t="shared" si="0"/>
        <v>4</v>
      </c>
      <c r="B6" s="50">
        <v>12524540</v>
      </c>
      <c r="C6" s="48">
        <v>41052314</v>
      </c>
      <c r="D6" s="49" t="s">
        <v>38</v>
      </c>
      <c r="E6" s="49" t="s">
        <v>39</v>
      </c>
      <c r="F6" s="49" t="s">
        <v>37</v>
      </c>
      <c r="G6" s="91" t="s">
        <v>33</v>
      </c>
      <c r="H6" s="32">
        <v>23</v>
      </c>
      <c r="I6" s="31">
        <v>16</v>
      </c>
      <c r="J6" s="99">
        <v>47</v>
      </c>
      <c r="K6" s="96">
        <v>40</v>
      </c>
      <c r="L6" s="19"/>
    </row>
    <row r="7" spans="1:12" s="1" customFormat="1" ht="15" customHeight="1" thickBot="1" x14ac:dyDescent="0.4">
      <c r="A7" s="46">
        <f t="shared" si="0"/>
        <v>5</v>
      </c>
      <c r="B7" s="50">
        <v>12520180</v>
      </c>
      <c r="C7" s="48">
        <v>41052630</v>
      </c>
      <c r="D7" s="49" t="s">
        <v>40</v>
      </c>
      <c r="E7" s="49" t="s">
        <v>41</v>
      </c>
      <c r="F7" s="49" t="s">
        <v>37</v>
      </c>
      <c r="G7" s="91" t="s">
        <v>33</v>
      </c>
      <c r="H7" s="32">
        <v>25</v>
      </c>
      <c r="I7" s="31">
        <v>25</v>
      </c>
      <c r="J7" s="99">
        <v>75</v>
      </c>
      <c r="K7" s="96">
        <v>75</v>
      </c>
      <c r="L7" s="19"/>
    </row>
    <row r="8" spans="1:12" s="1" customFormat="1" ht="15" customHeight="1" thickBot="1" x14ac:dyDescent="0.4">
      <c r="A8" s="46">
        <f t="shared" si="0"/>
        <v>6</v>
      </c>
      <c r="B8" s="50">
        <v>12529170</v>
      </c>
      <c r="C8" s="48">
        <v>41052076</v>
      </c>
      <c r="D8" s="49" t="s">
        <v>42</v>
      </c>
      <c r="E8" s="49" t="s">
        <v>43</v>
      </c>
      <c r="F8" s="49" t="s">
        <v>44</v>
      </c>
      <c r="G8" s="91" t="s">
        <v>33</v>
      </c>
      <c r="H8" s="32">
        <v>52</v>
      </c>
      <c r="I8" s="31">
        <v>55</v>
      </c>
      <c r="J8" s="99">
        <v>142</v>
      </c>
      <c r="K8" s="96">
        <v>163</v>
      </c>
      <c r="L8" s="19"/>
    </row>
    <row r="9" spans="1:12" s="1" customFormat="1" ht="15" customHeight="1" thickBot="1" x14ac:dyDescent="0.4">
      <c r="A9" s="46">
        <f t="shared" si="0"/>
        <v>7</v>
      </c>
      <c r="B9" s="50">
        <v>12529180</v>
      </c>
      <c r="C9" s="48">
        <v>41052078</v>
      </c>
      <c r="D9" s="49" t="s">
        <v>45</v>
      </c>
      <c r="E9" s="49" t="s">
        <v>46</v>
      </c>
      <c r="F9" s="49" t="s">
        <v>37</v>
      </c>
      <c r="G9" s="91" t="s">
        <v>33</v>
      </c>
      <c r="H9" s="32">
        <v>30</v>
      </c>
      <c r="I9" s="31">
        <v>35</v>
      </c>
      <c r="J9" s="99">
        <v>110</v>
      </c>
      <c r="K9" s="96">
        <v>145</v>
      </c>
      <c r="L9" s="19"/>
    </row>
    <row r="10" spans="1:12" s="1" customFormat="1" ht="15" customHeight="1" thickBot="1" x14ac:dyDescent="0.4">
      <c r="A10" s="46">
        <f t="shared" si="0"/>
        <v>8</v>
      </c>
      <c r="B10" s="50">
        <v>12530290</v>
      </c>
      <c r="C10" s="48">
        <v>41051516</v>
      </c>
      <c r="D10" s="49" t="s">
        <v>47</v>
      </c>
      <c r="E10" s="49" t="s">
        <v>48</v>
      </c>
      <c r="F10" s="49" t="s">
        <v>37</v>
      </c>
      <c r="G10" s="91" t="s">
        <v>33</v>
      </c>
      <c r="H10" s="32">
        <v>25</v>
      </c>
      <c r="I10" s="31">
        <v>23</v>
      </c>
      <c r="J10" s="99">
        <v>97</v>
      </c>
      <c r="K10" s="96">
        <v>89</v>
      </c>
      <c r="L10" s="19"/>
    </row>
    <row r="11" spans="1:12" s="1" customFormat="1" ht="15" customHeight="1" thickBot="1" x14ac:dyDescent="0.4">
      <c r="A11" s="46">
        <f t="shared" si="0"/>
        <v>9</v>
      </c>
      <c r="B11" s="47">
        <v>12546990</v>
      </c>
      <c r="C11" s="48">
        <v>41049558</v>
      </c>
      <c r="D11" s="49" t="s">
        <v>49</v>
      </c>
      <c r="E11" s="49" t="s">
        <v>50</v>
      </c>
      <c r="F11" s="49" t="s">
        <v>51</v>
      </c>
      <c r="G11" s="91" t="s">
        <v>33</v>
      </c>
      <c r="H11" s="32">
        <v>35</v>
      </c>
      <c r="I11" s="31">
        <v>25</v>
      </c>
      <c r="J11" s="99">
        <v>145</v>
      </c>
      <c r="K11" s="96">
        <v>95</v>
      </c>
      <c r="L11" s="19"/>
    </row>
    <row r="12" spans="1:12" s="1" customFormat="1" ht="15" customHeight="1" thickBot="1" x14ac:dyDescent="0.4">
      <c r="A12" s="46">
        <f t="shared" si="0"/>
        <v>10</v>
      </c>
      <c r="B12" s="47">
        <v>12550120</v>
      </c>
      <c r="C12" s="48">
        <v>41049162</v>
      </c>
      <c r="D12" s="49" t="s">
        <v>52</v>
      </c>
      <c r="E12" s="49" t="s">
        <v>53</v>
      </c>
      <c r="F12" s="49" t="s">
        <v>51</v>
      </c>
      <c r="G12" s="91" t="s">
        <v>33</v>
      </c>
      <c r="H12" s="32">
        <v>25</v>
      </c>
      <c r="I12" s="31">
        <v>0</v>
      </c>
      <c r="J12" s="99">
        <v>59</v>
      </c>
      <c r="K12" s="96">
        <v>0</v>
      </c>
      <c r="L12" s="19"/>
    </row>
    <row r="13" spans="1:12" s="1" customFormat="1" ht="15" customHeight="1" thickBot="1" x14ac:dyDescent="0.4">
      <c r="A13" s="46">
        <f t="shared" si="0"/>
        <v>11</v>
      </c>
      <c r="B13" s="47">
        <v>11000320</v>
      </c>
      <c r="C13" s="48">
        <v>41053710</v>
      </c>
      <c r="D13" s="49" t="s">
        <v>54</v>
      </c>
      <c r="E13" s="49" t="s">
        <v>55</v>
      </c>
      <c r="F13" s="49" t="s">
        <v>51</v>
      </c>
      <c r="G13" s="91" t="s">
        <v>33</v>
      </c>
      <c r="H13" s="32">
        <v>244</v>
      </c>
      <c r="I13" s="31">
        <v>121</v>
      </c>
      <c r="J13" s="99">
        <v>147</v>
      </c>
      <c r="K13" s="96">
        <v>40</v>
      </c>
      <c r="L13" s="19"/>
    </row>
    <row r="14" spans="1:12" s="1" customFormat="1" ht="15" customHeight="1" thickBot="1" x14ac:dyDescent="0.4">
      <c r="A14" s="46">
        <f t="shared" si="0"/>
        <v>12</v>
      </c>
      <c r="B14" s="47">
        <v>11109020</v>
      </c>
      <c r="C14" s="48">
        <v>41052485</v>
      </c>
      <c r="D14" s="49" t="s">
        <v>56</v>
      </c>
      <c r="E14" s="49" t="s">
        <v>57</v>
      </c>
      <c r="F14" s="49" t="s">
        <v>51</v>
      </c>
      <c r="G14" s="91" t="s">
        <v>33</v>
      </c>
      <c r="H14" s="32">
        <v>18</v>
      </c>
      <c r="I14" s="31">
        <v>0</v>
      </c>
      <c r="J14" s="99">
        <v>18</v>
      </c>
      <c r="K14" s="96">
        <v>0</v>
      </c>
      <c r="L14" s="19"/>
    </row>
    <row r="15" spans="1:12" s="1" customFormat="1" ht="15" customHeight="1" thickBot="1" x14ac:dyDescent="0.4">
      <c r="A15" s="46">
        <f t="shared" si="0"/>
        <v>13</v>
      </c>
      <c r="B15" s="47">
        <v>11001010</v>
      </c>
      <c r="C15" s="48">
        <v>41053717</v>
      </c>
      <c r="D15" s="49" t="s">
        <v>58</v>
      </c>
      <c r="E15" s="49" t="s">
        <v>59</v>
      </c>
      <c r="F15" s="49" t="s">
        <v>51</v>
      </c>
      <c r="G15" s="91" t="s">
        <v>33</v>
      </c>
      <c r="H15" s="32">
        <v>41</v>
      </c>
      <c r="I15" s="31">
        <v>42</v>
      </c>
      <c r="J15" s="99">
        <v>43</v>
      </c>
      <c r="K15" s="96">
        <v>28</v>
      </c>
      <c r="L15" s="19"/>
    </row>
    <row r="16" spans="1:12" s="1" customFormat="1" ht="15" customHeight="1" thickBot="1" x14ac:dyDescent="0.4">
      <c r="A16" s="46">
        <f t="shared" si="0"/>
        <v>14</v>
      </c>
      <c r="B16" s="47">
        <v>11462510</v>
      </c>
      <c r="C16" s="48">
        <v>41049678</v>
      </c>
      <c r="D16" s="49" t="s">
        <v>60</v>
      </c>
      <c r="E16" s="49" t="s">
        <v>61</v>
      </c>
      <c r="F16" s="49" t="s">
        <v>51</v>
      </c>
      <c r="G16" s="91" t="s">
        <v>33</v>
      </c>
      <c r="H16" s="32">
        <v>102</v>
      </c>
      <c r="I16" s="31">
        <v>105</v>
      </c>
      <c r="J16" s="99">
        <v>90</v>
      </c>
      <c r="K16" s="96">
        <v>99</v>
      </c>
      <c r="L16" s="19"/>
    </row>
    <row r="17" spans="1:12" s="1" customFormat="1" ht="15" customHeight="1" thickBot="1" x14ac:dyDescent="0.4">
      <c r="A17" s="46">
        <f t="shared" si="0"/>
        <v>15</v>
      </c>
      <c r="B17" s="51">
        <v>12249900</v>
      </c>
      <c r="C17" s="48">
        <v>41055217</v>
      </c>
      <c r="D17" s="49" t="s">
        <v>62</v>
      </c>
      <c r="E17" s="49" t="s">
        <v>63</v>
      </c>
      <c r="F17" s="49" t="s">
        <v>51</v>
      </c>
      <c r="G17" s="91" t="s">
        <v>33</v>
      </c>
      <c r="H17" s="32">
        <v>0</v>
      </c>
      <c r="I17" s="31">
        <v>0</v>
      </c>
      <c r="J17" s="99">
        <v>0</v>
      </c>
      <c r="K17" s="96">
        <v>0</v>
      </c>
      <c r="L17" s="19"/>
    </row>
    <row r="18" spans="1:12" s="1" customFormat="1" ht="15" customHeight="1" thickBot="1" x14ac:dyDescent="0.4">
      <c r="A18" s="46">
        <f t="shared" si="0"/>
        <v>16</v>
      </c>
      <c r="B18" s="47">
        <v>12207600</v>
      </c>
      <c r="C18" s="48">
        <v>41055568</v>
      </c>
      <c r="D18" s="49" t="s">
        <v>64</v>
      </c>
      <c r="E18" s="49" t="s">
        <v>65</v>
      </c>
      <c r="F18" s="49" t="s">
        <v>51</v>
      </c>
      <c r="G18" s="91" t="s">
        <v>33</v>
      </c>
      <c r="H18" s="32">
        <v>35</v>
      </c>
      <c r="I18" s="31">
        <v>35</v>
      </c>
      <c r="J18" s="99">
        <v>73</v>
      </c>
      <c r="K18" s="96">
        <v>69</v>
      </c>
      <c r="L18" s="19"/>
    </row>
    <row r="19" spans="1:12" s="1" customFormat="1" ht="15" customHeight="1" thickBot="1" x14ac:dyDescent="0.4">
      <c r="A19" s="46">
        <f t="shared" si="0"/>
        <v>17</v>
      </c>
      <c r="B19" s="47">
        <v>12164800</v>
      </c>
      <c r="C19" s="48">
        <v>41056005</v>
      </c>
      <c r="D19" s="49" t="s">
        <v>66</v>
      </c>
      <c r="E19" s="49" t="s">
        <v>67</v>
      </c>
      <c r="F19" s="49" t="s">
        <v>51</v>
      </c>
      <c r="G19" s="91" t="s">
        <v>33</v>
      </c>
      <c r="H19" s="32">
        <v>70</v>
      </c>
      <c r="I19" s="31">
        <v>59.5</v>
      </c>
      <c r="J19" s="99">
        <v>210</v>
      </c>
      <c r="K19" s="96">
        <v>192.5</v>
      </c>
      <c r="L19" s="19"/>
    </row>
    <row r="20" spans="1:12" s="1" customFormat="1" ht="15" customHeight="1" thickBot="1" x14ac:dyDescent="0.4">
      <c r="A20" s="46">
        <f t="shared" si="0"/>
        <v>18</v>
      </c>
      <c r="B20" s="50">
        <v>12509900</v>
      </c>
      <c r="C20" s="48">
        <v>41054001</v>
      </c>
      <c r="D20" s="49" t="s">
        <v>68</v>
      </c>
      <c r="E20" s="49" t="s">
        <v>69</v>
      </c>
      <c r="F20" s="49" t="s">
        <v>51</v>
      </c>
      <c r="G20" s="91" t="s">
        <v>33</v>
      </c>
      <c r="H20" s="32">
        <v>31</v>
      </c>
      <c r="I20" s="31">
        <v>33</v>
      </c>
      <c r="J20" s="99">
        <v>53</v>
      </c>
      <c r="K20" s="96">
        <v>43</v>
      </c>
      <c r="L20" s="19"/>
    </row>
    <row r="21" spans="1:12" s="1" customFormat="1" ht="15" customHeight="1" thickBot="1" x14ac:dyDescent="0.4">
      <c r="A21" s="46">
        <f t="shared" si="0"/>
        <v>19</v>
      </c>
      <c r="B21" s="50">
        <v>12514270</v>
      </c>
      <c r="C21" s="48">
        <v>41053591</v>
      </c>
      <c r="D21" s="49" t="s">
        <v>70</v>
      </c>
      <c r="E21" s="49" t="s">
        <v>71</v>
      </c>
      <c r="F21" s="49" t="s">
        <v>51</v>
      </c>
      <c r="G21" s="91" t="s">
        <v>33</v>
      </c>
      <c r="H21" s="32">
        <v>31</v>
      </c>
      <c r="I21" s="31">
        <v>26</v>
      </c>
      <c r="J21" s="99">
        <v>67</v>
      </c>
      <c r="K21" s="96">
        <v>86</v>
      </c>
      <c r="L21" s="19"/>
    </row>
    <row r="22" spans="1:12" s="1" customFormat="1" ht="15" customHeight="1" thickBot="1" x14ac:dyDescent="0.4">
      <c r="A22" s="46">
        <f t="shared" si="0"/>
        <v>20</v>
      </c>
      <c r="B22" s="50">
        <v>12516370</v>
      </c>
      <c r="C22" s="48">
        <v>41053028</v>
      </c>
      <c r="D22" s="49" t="s">
        <v>72</v>
      </c>
      <c r="E22" s="49" t="s">
        <v>73</v>
      </c>
      <c r="F22" s="49" t="s">
        <v>51</v>
      </c>
      <c r="G22" s="91" t="s">
        <v>33</v>
      </c>
      <c r="H22" s="32">
        <v>50</v>
      </c>
      <c r="I22" s="31">
        <v>35</v>
      </c>
      <c r="J22" s="99">
        <v>90</v>
      </c>
      <c r="K22" s="96">
        <v>65</v>
      </c>
      <c r="L22" s="19"/>
    </row>
    <row r="23" spans="1:12" s="1" customFormat="1" ht="15" customHeight="1" thickBot="1" x14ac:dyDescent="0.4">
      <c r="A23" s="46">
        <f t="shared" si="0"/>
        <v>21</v>
      </c>
      <c r="B23" s="50">
        <v>12516380</v>
      </c>
      <c r="C23" s="48">
        <v>41053029</v>
      </c>
      <c r="D23" s="49" t="s">
        <v>74</v>
      </c>
      <c r="E23" s="49" t="s">
        <v>75</v>
      </c>
      <c r="F23" s="49" t="s">
        <v>51</v>
      </c>
      <c r="G23" s="91" t="s">
        <v>33</v>
      </c>
      <c r="H23" s="32">
        <v>20</v>
      </c>
      <c r="I23" s="31">
        <v>12</v>
      </c>
      <c r="J23" s="99">
        <v>72</v>
      </c>
      <c r="K23" s="96">
        <v>48</v>
      </c>
      <c r="L23" s="19"/>
    </row>
    <row r="24" spans="1:12" s="1" customFormat="1" ht="15" customHeight="1" thickBot="1" x14ac:dyDescent="0.4">
      <c r="A24" s="46">
        <f t="shared" si="0"/>
        <v>22</v>
      </c>
      <c r="B24" s="50">
        <v>12531760</v>
      </c>
      <c r="C24" s="48">
        <v>41051682</v>
      </c>
      <c r="D24" s="49" t="s">
        <v>76</v>
      </c>
      <c r="E24" s="49" t="s">
        <v>77</v>
      </c>
      <c r="F24" s="49" t="s">
        <v>51</v>
      </c>
      <c r="G24" s="91" t="s">
        <v>33</v>
      </c>
      <c r="H24" s="32">
        <v>28</v>
      </c>
      <c r="I24" s="31">
        <v>25</v>
      </c>
      <c r="J24" s="99">
        <v>124</v>
      </c>
      <c r="K24" s="96">
        <v>109</v>
      </c>
      <c r="L24" s="19"/>
    </row>
    <row r="25" spans="1:12" s="1" customFormat="1" ht="15" customHeight="1" thickBot="1" x14ac:dyDescent="0.4">
      <c r="A25" s="46">
        <f t="shared" si="0"/>
        <v>23</v>
      </c>
      <c r="B25" s="50">
        <v>11640200</v>
      </c>
      <c r="C25" s="48">
        <v>41047699</v>
      </c>
      <c r="D25" s="49" t="s">
        <v>78</v>
      </c>
      <c r="E25" s="49" t="s">
        <v>33</v>
      </c>
      <c r="F25" s="49" t="s">
        <v>51</v>
      </c>
      <c r="G25" s="91" t="s">
        <v>33</v>
      </c>
      <c r="H25" s="32">
        <v>63</v>
      </c>
      <c r="I25" s="31">
        <v>63</v>
      </c>
      <c r="J25" s="99">
        <v>93</v>
      </c>
      <c r="K25" s="96">
        <v>105</v>
      </c>
      <c r="L25" s="19"/>
    </row>
    <row r="26" spans="1:12" s="1" customFormat="1" ht="15" customHeight="1" thickBot="1" x14ac:dyDescent="0.4">
      <c r="A26" s="46">
        <f t="shared" si="0"/>
        <v>24</v>
      </c>
      <c r="B26" s="50">
        <v>12551550</v>
      </c>
      <c r="C26" s="48">
        <v>41049328</v>
      </c>
      <c r="D26" s="49" t="s">
        <v>79</v>
      </c>
      <c r="E26" s="49" t="s">
        <v>80</v>
      </c>
      <c r="F26" s="49" t="s">
        <v>51</v>
      </c>
      <c r="G26" s="91" t="s">
        <v>33</v>
      </c>
      <c r="H26" s="32">
        <v>107</v>
      </c>
      <c r="I26" s="31">
        <v>106</v>
      </c>
      <c r="J26" s="99">
        <v>151</v>
      </c>
      <c r="K26" s="96">
        <v>138</v>
      </c>
      <c r="L26" s="19"/>
    </row>
    <row r="27" spans="1:12" s="1" customFormat="1" ht="15" customHeight="1" thickBot="1" x14ac:dyDescent="0.4">
      <c r="A27" s="46">
        <f t="shared" si="0"/>
        <v>25</v>
      </c>
      <c r="B27" s="47">
        <v>12600020</v>
      </c>
      <c r="C27" s="48">
        <v>41036792</v>
      </c>
      <c r="D27" s="49" t="s">
        <v>81</v>
      </c>
      <c r="E27" s="49" t="s">
        <v>82</v>
      </c>
      <c r="F27" s="49" t="s">
        <v>51</v>
      </c>
      <c r="G27" s="91" t="s">
        <v>33</v>
      </c>
      <c r="H27" s="32">
        <v>23</v>
      </c>
      <c r="I27" s="31">
        <v>30</v>
      </c>
      <c r="J27" s="99">
        <v>121</v>
      </c>
      <c r="K27" s="96">
        <v>204</v>
      </c>
      <c r="L27" s="19"/>
    </row>
    <row r="28" spans="1:12" s="1" customFormat="1" ht="15" customHeight="1" thickBot="1" x14ac:dyDescent="0.4">
      <c r="A28" s="46">
        <f t="shared" si="0"/>
        <v>26</v>
      </c>
      <c r="B28" s="47"/>
      <c r="C28" s="48">
        <v>41076824</v>
      </c>
      <c r="D28" s="49" t="s">
        <v>83</v>
      </c>
      <c r="E28" s="49" t="s">
        <v>84</v>
      </c>
      <c r="F28" s="49" t="s">
        <v>85</v>
      </c>
      <c r="G28" s="91" t="s">
        <v>33</v>
      </c>
      <c r="H28" s="32">
        <v>229</v>
      </c>
      <c r="I28" s="31">
        <v>203</v>
      </c>
      <c r="J28" s="99">
        <v>659</v>
      </c>
      <c r="K28" s="96">
        <v>617</v>
      </c>
      <c r="L28" s="19"/>
    </row>
    <row r="29" spans="1:12" s="1" customFormat="1" ht="15" customHeight="1" thickBot="1" x14ac:dyDescent="0.4">
      <c r="A29" s="46">
        <f t="shared" si="0"/>
        <v>27</v>
      </c>
      <c r="B29" s="47">
        <v>11639300</v>
      </c>
      <c r="C29" s="48">
        <v>41048432</v>
      </c>
      <c r="D29" s="49" t="s">
        <v>86</v>
      </c>
      <c r="E29" s="49" t="s">
        <v>87</v>
      </c>
      <c r="F29" s="49" t="s">
        <v>85</v>
      </c>
      <c r="G29" s="91" t="s">
        <v>33</v>
      </c>
      <c r="H29" s="32">
        <v>30</v>
      </c>
      <c r="I29" s="31">
        <v>35</v>
      </c>
      <c r="J29" s="99">
        <v>50</v>
      </c>
      <c r="K29" s="96">
        <v>65</v>
      </c>
      <c r="L29" s="19"/>
    </row>
    <row r="30" spans="1:12" s="1" customFormat="1" ht="15" customHeight="1" thickBot="1" x14ac:dyDescent="0.4">
      <c r="A30" s="46">
        <f t="shared" si="0"/>
        <v>28</v>
      </c>
      <c r="B30" s="47">
        <v>11371110</v>
      </c>
      <c r="C30" s="48">
        <v>41050559</v>
      </c>
      <c r="D30" s="49" t="s">
        <v>88</v>
      </c>
      <c r="E30" s="49" t="s">
        <v>89</v>
      </c>
      <c r="F30" s="49" t="s">
        <v>85</v>
      </c>
      <c r="G30" s="91" t="s">
        <v>33</v>
      </c>
      <c r="H30" s="32">
        <v>36</v>
      </c>
      <c r="I30" s="31">
        <v>32</v>
      </c>
      <c r="J30" s="99">
        <v>194</v>
      </c>
      <c r="K30" s="96">
        <v>106</v>
      </c>
      <c r="L30" s="19"/>
    </row>
    <row r="31" spans="1:12" s="1" customFormat="1" ht="15" customHeight="1" thickBot="1" x14ac:dyDescent="0.4">
      <c r="A31" s="46">
        <f t="shared" si="0"/>
        <v>29</v>
      </c>
      <c r="B31" s="50">
        <v>12265800</v>
      </c>
      <c r="C31" s="48">
        <v>41055292</v>
      </c>
      <c r="D31" s="49" t="s">
        <v>90</v>
      </c>
      <c r="E31" s="49" t="s">
        <v>85</v>
      </c>
      <c r="F31" s="49" t="s">
        <v>85</v>
      </c>
      <c r="G31" s="91" t="s">
        <v>33</v>
      </c>
      <c r="H31" s="32">
        <v>50</v>
      </c>
      <c r="I31" s="31">
        <v>35</v>
      </c>
      <c r="J31" s="99">
        <v>110</v>
      </c>
      <c r="K31" s="96">
        <v>125</v>
      </c>
      <c r="L31" s="19"/>
    </row>
    <row r="32" spans="1:12" s="1" customFormat="1" ht="15" customHeight="1" thickBot="1" x14ac:dyDescent="0.4">
      <c r="A32" s="46">
        <f t="shared" si="0"/>
        <v>30</v>
      </c>
      <c r="B32" s="50">
        <v>12380850</v>
      </c>
      <c r="C32" s="48">
        <v>41054465</v>
      </c>
      <c r="D32" s="49" t="s">
        <v>91</v>
      </c>
      <c r="E32" s="49" t="s">
        <v>92</v>
      </c>
      <c r="F32" s="49" t="s">
        <v>85</v>
      </c>
      <c r="G32" s="91" t="s">
        <v>33</v>
      </c>
      <c r="H32" s="32">
        <v>40</v>
      </c>
      <c r="I32" s="31">
        <v>35</v>
      </c>
      <c r="J32" s="99">
        <v>94</v>
      </c>
      <c r="K32" s="96">
        <v>85</v>
      </c>
      <c r="L32" s="19"/>
    </row>
    <row r="33" spans="1:12" s="1" customFormat="1" ht="15" customHeight="1" thickBot="1" x14ac:dyDescent="0.4">
      <c r="A33" s="46">
        <f t="shared" si="0"/>
        <v>31</v>
      </c>
      <c r="B33" s="47">
        <v>12266900</v>
      </c>
      <c r="C33" s="48">
        <v>41055300</v>
      </c>
      <c r="D33" s="49" t="s">
        <v>93</v>
      </c>
      <c r="E33" s="49" t="s">
        <v>94</v>
      </c>
      <c r="F33" s="49" t="s">
        <v>85</v>
      </c>
      <c r="G33" s="91" t="s">
        <v>33</v>
      </c>
      <c r="H33" s="32">
        <v>40</v>
      </c>
      <c r="I33" s="31">
        <v>36</v>
      </c>
      <c r="J33" s="99">
        <v>64</v>
      </c>
      <c r="K33" s="96">
        <v>66</v>
      </c>
      <c r="L33" s="19"/>
    </row>
    <row r="34" spans="1:12" s="1" customFormat="1" ht="15" customHeight="1" thickBot="1" x14ac:dyDescent="0.4">
      <c r="A34" s="46">
        <f t="shared" si="0"/>
        <v>32</v>
      </c>
      <c r="B34" s="52">
        <v>12594120</v>
      </c>
      <c r="C34" s="48">
        <v>41038826</v>
      </c>
      <c r="D34" s="49" t="s">
        <v>95</v>
      </c>
      <c r="E34" s="49" t="s">
        <v>96</v>
      </c>
      <c r="F34" s="49" t="s">
        <v>85</v>
      </c>
      <c r="G34" s="91" t="s">
        <v>33</v>
      </c>
      <c r="H34" s="32">
        <v>20</v>
      </c>
      <c r="I34" s="31">
        <v>25</v>
      </c>
      <c r="J34" s="99">
        <v>132</v>
      </c>
      <c r="K34" s="96">
        <v>169</v>
      </c>
      <c r="L34" s="19"/>
    </row>
    <row r="35" spans="1:12" s="1" customFormat="1" ht="15" customHeight="1" thickBot="1" x14ac:dyDescent="0.4">
      <c r="A35" s="46">
        <f t="shared" si="0"/>
        <v>33</v>
      </c>
      <c r="B35" s="52">
        <v>12595940</v>
      </c>
      <c r="C35" s="48">
        <v>41039731</v>
      </c>
      <c r="D35" s="49" t="s">
        <v>97</v>
      </c>
      <c r="E35" s="49" t="s">
        <v>98</v>
      </c>
      <c r="F35" s="49" t="s">
        <v>85</v>
      </c>
      <c r="G35" s="91" t="s">
        <v>33</v>
      </c>
      <c r="H35" s="32">
        <v>13</v>
      </c>
      <c r="I35" s="31">
        <v>7</v>
      </c>
      <c r="J35" s="99">
        <v>43</v>
      </c>
      <c r="K35" s="96">
        <v>17</v>
      </c>
      <c r="L35" s="19"/>
    </row>
    <row r="36" spans="1:12" s="1" customFormat="1" ht="15" customHeight="1" thickBot="1" x14ac:dyDescent="0.4">
      <c r="A36" s="46">
        <f t="shared" si="0"/>
        <v>34</v>
      </c>
      <c r="B36" s="52">
        <v>12600000</v>
      </c>
      <c r="C36" s="48">
        <v>41036785</v>
      </c>
      <c r="D36" s="49" t="s">
        <v>99</v>
      </c>
      <c r="E36" s="49" t="s">
        <v>100</v>
      </c>
      <c r="F36" s="49" t="s">
        <v>85</v>
      </c>
      <c r="G36" s="91" t="s">
        <v>33</v>
      </c>
      <c r="H36" s="32">
        <v>56</v>
      </c>
      <c r="I36" s="31">
        <v>38</v>
      </c>
      <c r="J36" s="99">
        <v>140</v>
      </c>
      <c r="K36" s="96">
        <v>116</v>
      </c>
      <c r="L36" s="19"/>
    </row>
    <row r="37" spans="1:12" s="1" customFormat="1" ht="15" customHeight="1" thickBot="1" x14ac:dyDescent="0.4">
      <c r="A37" s="46">
        <f t="shared" si="0"/>
        <v>35</v>
      </c>
      <c r="B37" s="52"/>
      <c r="C37" s="48">
        <v>41091336</v>
      </c>
      <c r="D37" s="49" t="s">
        <v>837</v>
      </c>
      <c r="E37" s="49" t="s">
        <v>101</v>
      </c>
      <c r="F37" s="49" t="s">
        <v>44</v>
      </c>
      <c r="G37" s="91" t="s">
        <v>33</v>
      </c>
      <c r="H37" s="32">
        <v>0</v>
      </c>
      <c r="I37" s="31">
        <v>0</v>
      </c>
      <c r="J37" s="99">
        <v>0</v>
      </c>
      <c r="K37" s="96">
        <v>0</v>
      </c>
      <c r="L37" s="19"/>
    </row>
    <row r="38" spans="1:12" s="1" customFormat="1" ht="15" customHeight="1" thickBot="1" x14ac:dyDescent="0.4">
      <c r="A38" s="46">
        <f t="shared" si="0"/>
        <v>36</v>
      </c>
      <c r="B38" s="51">
        <v>12208800</v>
      </c>
      <c r="C38" s="48">
        <v>41055576</v>
      </c>
      <c r="D38" s="49" t="s">
        <v>102</v>
      </c>
      <c r="E38" s="49" t="s">
        <v>44</v>
      </c>
      <c r="F38" s="49" t="s">
        <v>44</v>
      </c>
      <c r="G38" s="91" t="s">
        <v>33</v>
      </c>
      <c r="H38" s="32">
        <v>81</v>
      </c>
      <c r="I38" s="31">
        <v>64</v>
      </c>
      <c r="J38" s="99">
        <v>107</v>
      </c>
      <c r="K38" s="96">
        <v>92</v>
      </c>
      <c r="L38" s="19"/>
    </row>
    <row r="39" spans="1:12" s="1" customFormat="1" ht="15" customHeight="1" thickBot="1" x14ac:dyDescent="0.4">
      <c r="A39" s="46">
        <f t="shared" si="0"/>
        <v>37</v>
      </c>
      <c r="B39" s="53">
        <v>12511670</v>
      </c>
      <c r="C39" s="48">
        <v>41053453</v>
      </c>
      <c r="D39" s="49" t="s">
        <v>103</v>
      </c>
      <c r="E39" s="49" t="s">
        <v>104</v>
      </c>
      <c r="F39" s="49" t="s">
        <v>44</v>
      </c>
      <c r="G39" s="91" t="s">
        <v>33</v>
      </c>
      <c r="H39" s="32">
        <v>69</v>
      </c>
      <c r="I39" s="31">
        <v>60</v>
      </c>
      <c r="J39" s="99">
        <v>529</v>
      </c>
      <c r="K39" s="96">
        <v>492</v>
      </c>
      <c r="L39" s="19"/>
    </row>
    <row r="40" spans="1:12" s="1" customFormat="1" ht="15" customHeight="1" thickBot="1" x14ac:dyDescent="0.4">
      <c r="A40" s="46">
        <f t="shared" si="0"/>
        <v>38</v>
      </c>
      <c r="B40" s="50">
        <v>12512050</v>
      </c>
      <c r="C40" s="48">
        <v>41053469</v>
      </c>
      <c r="D40" s="49" t="s">
        <v>105</v>
      </c>
      <c r="E40" s="49" t="s">
        <v>106</v>
      </c>
      <c r="F40" s="49" t="s">
        <v>85</v>
      </c>
      <c r="G40" s="91" t="s">
        <v>33</v>
      </c>
      <c r="H40" s="32">
        <v>10</v>
      </c>
      <c r="I40" s="31">
        <v>16</v>
      </c>
      <c r="J40" s="99">
        <v>52</v>
      </c>
      <c r="K40" s="96">
        <v>58</v>
      </c>
      <c r="L40" s="19"/>
    </row>
    <row r="41" spans="1:12" s="1" customFormat="1" ht="15" customHeight="1" thickBot="1" x14ac:dyDescent="0.4">
      <c r="A41" s="46">
        <f t="shared" si="0"/>
        <v>39</v>
      </c>
      <c r="B41" s="50">
        <v>12516340</v>
      </c>
      <c r="C41" s="48">
        <v>41053026</v>
      </c>
      <c r="D41" s="49" t="s">
        <v>107</v>
      </c>
      <c r="E41" s="49" t="s">
        <v>108</v>
      </c>
      <c r="F41" s="49" t="s">
        <v>44</v>
      </c>
      <c r="G41" s="91" t="s">
        <v>33</v>
      </c>
      <c r="H41" s="32">
        <v>36</v>
      </c>
      <c r="I41" s="31">
        <v>41</v>
      </c>
      <c r="J41" s="99">
        <v>48</v>
      </c>
      <c r="K41" s="96">
        <v>71</v>
      </c>
      <c r="L41" s="19"/>
    </row>
    <row r="42" spans="1:12" s="1" customFormat="1" ht="15" customHeight="1" thickBot="1" x14ac:dyDescent="0.4">
      <c r="A42" s="46">
        <f t="shared" si="0"/>
        <v>40</v>
      </c>
      <c r="B42" s="50">
        <v>12524560</v>
      </c>
      <c r="C42" s="48">
        <v>41052316</v>
      </c>
      <c r="D42" s="49" t="s">
        <v>109</v>
      </c>
      <c r="E42" s="49" t="s">
        <v>110</v>
      </c>
      <c r="F42" s="49" t="s">
        <v>44</v>
      </c>
      <c r="G42" s="91" t="s">
        <v>33</v>
      </c>
      <c r="H42" s="32">
        <v>46</v>
      </c>
      <c r="I42" s="31">
        <v>38</v>
      </c>
      <c r="J42" s="99">
        <v>87</v>
      </c>
      <c r="K42" s="96">
        <v>84</v>
      </c>
      <c r="L42" s="19"/>
    </row>
    <row r="43" spans="1:12" s="1" customFormat="1" ht="15" customHeight="1" thickBot="1" x14ac:dyDescent="0.4">
      <c r="A43" s="46">
        <f t="shared" si="0"/>
        <v>41</v>
      </c>
      <c r="B43" s="50">
        <v>12536590</v>
      </c>
      <c r="C43" s="48">
        <v>41050709</v>
      </c>
      <c r="D43" s="49" t="s">
        <v>111</v>
      </c>
      <c r="E43" s="49" t="s">
        <v>101</v>
      </c>
      <c r="F43" s="49" t="s">
        <v>44</v>
      </c>
      <c r="G43" s="91" t="s">
        <v>33</v>
      </c>
      <c r="H43" s="32">
        <v>0</v>
      </c>
      <c r="I43" s="31">
        <v>0</v>
      </c>
      <c r="J43" s="99">
        <v>0</v>
      </c>
      <c r="K43" s="96">
        <v>0</v>
      </c>
      <c r="L43" s="19"/>
    </row>
    <row r="44" spans="1:12" s="1" customFormat="1" ht="15" customHeight="1" thickBot="1" x14ac:dyDescent="0.4">
      <c r="A44" s="46">
        <f t="shared" si="0"/>
        <v>42</v>
      </c>
      <c r="B44" s="54">
        <v>12541870</v>
      </c>
      <c r="C44" s="48">
        <v>41050503</v>
      </c>
      <c r="D44" s="49" t="s">
        <v>112</v>
      </c>
      <c r="E44" s="49" t="s">
        <v>113</v>
      </c>
      <c r="F44" s="49" t="s">
        <v>44</v>
      </c>
      <c r="G44" s="91" t="s">
        <v>33</v>
      </c>
      <c r="H44" s="32">
        <v>37</v>
      </c>
      <c r="I44" s="31">
        <v>21</v>
      </c>
      <c r="J44" s="99">
        <v>63</v>
      </c>
      <c r="K44" s="96">
        <v>51</v>
      </c>
      <c r="L44" s="19"/>
    </row>
    <row r="45" spans="1:12" s="1" customFormat="1" ht="15" customHeight="1" thickBot="1" x14ac:dyDescent="0.4">
      <c r="A45" s="46">
        <f t="shared" si="0"/>
        <v>43</v>
      </c>
      <c r="B45" s="55">
        <v>12534120</v>
      </c>
      <c r="C45" s="48">
        <v>41051173</v>
      </c>
      <c r="D45" s="49" t="s">
        <v>114</v>
      </c>
      <c r="E45" s="49" t="s">
        <v>115</v>
      </c>
      <c r="F45" s="49" t="s">
        <v>44</v>
      </c>
      <c r="G45" s="91" t="s">
        <v>33</v>
      </c>
      <c r="H45" s="32">
        <v>13</v>
      </c>
      <c r="I45" s="31">
        <v>20</v>
      </c>
      <c r="J45" s="99">
        <v>71</v>
      </c>
      <c r="K45" s="96">
        <v>106</v>
      </c>
      <c r="L45" s="19"/>
    </row>
    <row r="46" spans="1:12" s="1" customFormat="1" ht="15" customHeight="1" thickBot="1" x14ac:dyDescent="0.4">
      <c r="A46" s="46">
        <f t="shared" si="0"/>
        <v>44</v>
      </c>
      <c r="B46" s="50">
        <v>12551540</v>
      </c>
      <c r="C46" s="48">
        <v>41049326</v>
      </c>
      <c r="D46" s="49" t="s">
        <v>116</v>
      </c>
      <c r="E46" s="49" t="s">
        <v>44</v>
      </c>
      <c r="F46" s="49" t="s">
        <v>44</v>
      </c>
      <c r="G46" s="91" t="s">
        <v>33</v>
      </c>
      <c r="H46" s="32">
        <v>65</v>
      </c>
      <c r="I46" s="31">
        <v>65</v>
      </c>
      <c r="J46" s="99">
        <v>145</v>
      </c>
      <c r="K46" s="96">
        <v>145</v>
      </c>
      <c r="L46" s="19"/>
    </row>
    <row r="47" spans="1:12" s="1" customFormat="1" ht="15" customHeight="1" thickBot="1" x14ac:dyDescent="0.4">
      <c r="A47" s="46">
        <f t="shared" si="0"/>
        <v>45</v>
      </c>
      <c r="B47" s="50">
        <v>12596040</v>
      </c>
      <c r="C47" s="48">
        <v>41037560</v>
      </c>
      <c r="D47" s="49" t="s">
        <v>117</v>
      </c>
      <c r="E47" s="49" t="s">
        <v>118</v>
      </c>
      <c r="F47" s="49" t="s">
        <v>44</v>
      </c>
      <c r="G47" s="91" t="s">
        <v>33</v>
      </c>
      <c r="H47" s="32">
        <v>40</v>
      </c>
      <c r="I47" s="31">
        <v>40</v>
      </c>
      <c r="J47" s="99">
        <v>240</v>
      </c>
      <c r="K47" s="96">
        <v>208</v>
      </c>
      <c r="L47" s="19"/>
    </row>
    <row r="48" spans="1:12" s="1" customFormat="1" ht="15" customHeight="1" thickBot="1" x14ac:dyDescent="0.4">
      <c r="A48" s="46">
        <f t="shared" si="0"/>
        <v>46</v>
      </c>
      <c r="B48" s="56">
        <v>12569220</v>
      </c>
      <c r="C48" s="48">
        <v>41046467</v>
      </c>
      <c r="D48" s="49" t="s">
        <v>119</v>
      </c>
      <c r="E48" s="49" t="s">
        <v>69</v>
      </c>
      <c r="F48" s="49" t="s">
        <v>32</v>
      </c>
      <c r="G48" s="91" t="s">
        <v>33</v>
      </c>
      <c r="H48" s="32">
        <v>65</v>
      </c>
      <c r="I48" s="31">
        <v>44</v>
      </c>
      <c r="J48" s="99">
        <v>175</v>
      </c>
      <c r="K48" s="96">
        <v>234</v>
      </c>
      <c r="L48" s="19"/>
    </row>
    <row r="49" spans="1:12" s="1" customFormat="1" ht="15" customHeight="1" thickBot="1" x14ac:dyDescent="0.4">
      <c r="A49" s="46">
        <f t="shared" si="0"/>
        <v>47</v>
      </c>
      <c r="B49" s="50">
        <v>12558890</v>
      </c>
      <c r="C49" s="48">
        <v>41048006</v>
      </c>
      <c r="D49" s="49" t="s">
        <v>120</v>
      </c>
      <c r="E49" s="49" t="s">
        <v>121</v>
      </c>
      <c r="F49" s="49" t="s">
        <v>51</v>
      </c>
      <c r="G49" s="91" t="s">
        <v>33</v>
      </c>
      <c r="H49" s="32">
        <v>45</v>
      </c>
      <c r="I49" s="31">
        <v>46</v>
      </c>
      <c r="J49" s="99">
        <v>95</v>
      </c>
      <c r="K49" s="96">
        <v>102</v>
      </c>
      <c r="L49" s="19"/>
    </row>
    <row r="50" spans="1:12" s="1" customFormat="1" ht="15" customHeight="1" thickBot="1" x14ac:dyDescent="0.4">
      <c r="A50" s="46">
        <f t="shared" si="0"/>
        <v>48</v>
      </c>
      <c r="B50" s="50">
        <v>12561400</v>
      </c>
      <c r="C50" s="48">
        <v>41048330</v>
      </c>
      <c r="D50" s="49" t="s">
        <v>122</v>
      </c>
      <c r="E50" s="49" t="s">
        <v>123</v>
      </c>
      <c r="F50" s="49" t="s">
        <v>51</v>
      </c>
      <c r="G50" s="91" t="s">
        <v>33</v>
      </c>
      <c r="H50" s="32">
        <v>0</v>
      </c>
      <c r="I50" s="31">
        <v>0</v>
      </c>
      <c r="J50" s="99">
        <v>0</v>
      </c>
      <c r="K50" s="96">
        <v>0</v>
      </c>
      <c r="L50" s="19"/>
    </row>
    <row r="51" spans="1:12" s="1" customFormat="1" ht="15" customHeight="1" thickBot="1" x14ac:dyDescent="0.4">
      <c r="A51" s="46">
        <f t="shared" si="0"/>
        <v>49</v>
      </c>
      <c r="B51" s="50">
        <v>12521540</v>
      </c>
      <c r="C51" s="48">
        <v>41052795</v>
      </c>
      <c r="D51" s="49" t="s">
        <v>124</v>
      </c>
      <c r="E51" s="49" t="s">
        <v>125</v>
      </c>
      <c r="F51" s="49" t="s">
        <v>51</v>
      </c>
      <c r="G51" s="91" t="s">
        <v>33</v>
      </c>
      <c r="H51" s="32">
        <v>28</v>
      </c>
      <c r="I51" s="31">
        <v>25</v>
      </c>
      <c r="J51" s="99">
        <v>84</v>
      </c>
      <c r="K51" s="96">
        <v>73</v>
      </c>
      <c r="L51" s="19"/>
    </row>
    <row r="52" spans="1:12" s="1" customFormat="1" ht="15" customHeight="1" thickBot="1" x14ac:dyDescent="0.4">
      <c r="A52" s="46">
        <f t="shared" si="0"/>
        <v>50</v>
      </c>
      <c r="B52" s="50">
        <v>12570380</v>
      </c>
      <c r="C52" s="48">
        <v>41044688</v>
      </c>
      <c r="D52" s="49" t="s">
        <v>126</v>
      </c>
      <c r="E52" s="49" t="s">
        <v>127</v>
      </c>
      <c r="F52" s="49" t="s">
        <v>85</v>
      </c>
      <c r="G52" s="91" t="s">
        <v>33</v>
      </c>
      <c r="H52" s="32">
        <v>22</v>
      </c>
      <c r="I52" s="31">
        <v>26</v>
      </c>
      <c r="J52" s="99">
        <v>56</v>
      </c>
      <c r="K52" s="96">
        <v>60</v>
      </c>
      <c r="L52" s="19"/>
    </row>
    <row r="53" spans="1:12" s="1" customFormat="1" ht="15" customHeight="1" thickBot="1" x14ac:dyDescent="0.4">
      <c r="A53" s="46">
        <f t="shared" si="0"/>
        <v>51</v>
      </c>
      <c r="B53" s="50">
        <v>12579060</v>
      </c>
      <c r="C53" s="48">
        <v>41043307</v>
      </c>
      <c r="D53" s="49" t="s">
        <v>128</v>
      </c>
      <c r="E53" s="49" t="s">
        <v>129</v>
      </c>
      <c r="F53" s="49" t="s">
        <v>51</v>
      </c>
      <c r="G53" s="91" t="s">
        <v>33</v>
      </c>
      <c r="H53" s="32">
        <v>53</v>
      </c>
      <c r="I53" s="31">
        <v>45</v>
      </c>
      <c r="J53" s="99">
        <v>79</v>
      </c>
      <c r="K53" s="96">
        <v>95</v>
      </c>
      <c r="L53" s="19"/>
    </row>
    <row r="54" spans="1:12" s="1" customFormat="1" ht="15" customHeight="1" thickBot="1" x14ac:dyDescent="0.4">
      <c r="A54" s="46">
        <f t="shared" si="0"/>
        <v>52</v>
      </c>
      <c r="B54" s="50">
        <v>12585860</v>
      </c>
      <c r="C54" s="48">
        <v>41044074</v>
      </c>
      <c r="D54" s="49" t="s">
        <v>130</v>
      </c>
      <c r="E54" s="49" t="s">
        <v>131</v>
      </c>
      <c r="F54" s="49" t="s">
        <v>51</v>
      </c>
      <c r="G54" s="91" t="s">
        <v>33</v>
      </c>
      <c r="H54" s="32">
        <v>29</v>
      </c>
      <c r="I54" s="31">
        <v>25</v>
      </c>
      <c r="J54" s="99">
        <v>155</v>
      </c>
      <c r="K54" s="96">
        <v>115</v>
      </c>
      <c r="L54" s="19"/>
    </row>
    <row r="55" spans="1:12" s="1" customFormat="1" ht="15" customHeight="1" thickBot="1" x14ac:dyDescent="0.4">
      <c r="A55" s="46">
        <f t="shared" si="0"/>
        <v>53</v>
      </c>
      <c r="B55" s="50">
        <v>12585890</v>
      </c>
      <c r="C55" s="48">
        <v>41044087</v>
      </c>
      <c r="D55" s="49" t="s">
        <v>132</v>
      </c>
      <c r="E55" s="49" t="s">
        <v>133</v>
      </c>
      <c r="F55" s="49" t="s">
        <v>85</v>
      </c>
      <c r="G55" s="91" t="s">
        <v>33</v>
      </c>
      <c r="H55" s="32">
        <v>23</v>
      </c>
      <c r="I55" s="31">
        <v>19</v>
      </c>
      <c r="J55" s="99">
        <v>89</v>
      </c>
      <c r="K55" s="96">
        <v>73</v>
      </c>
      <c r="L55" s="19"/>
    </row>
    <row r="56" spans="1:12" s="1" customFormat="1" ht="15" customHeight="1" thickBot="1" x14ac:dyDescent="0.4">
      <c r="A56" s="46">
        <f t="shared" si="0"/>
        <v>54</v>
      </c>
      <c r="B56" s="52"/>
      <c r="C56" s="48">
        <v>41094026</v>
      </c>
      <c r="D56" s="49" t="s">
        <v>851</v>
      </c>
      <c r="E56" s="49" t="s">
        <v>134</v>
      </c>
      <c r="F56" s="49" t="s">
        <v>51</v>
      </c>
      <c r="G56" s="91" t="s">
        <v>33</v>
      </c>
      <c r="H56" s="32">
        <v>43</v>
      </c>
      <c r="I56" s="31">
        <v>36</v>
      </c>
      <c r="J56" s="99">
        <v>135</v>
      </c>
      <c r="K56" s="96">
        <v>122</v>
      </c>
      <c r="L56" s="19"/>
    </row>
    <row r="57" spans="1:12" s="1" customFormat="1" ht="15" customHeight="1" thickBot="1" x14ac:dyDescent="0.4">
      <c r="A57" s="46">
        <f t="shared" si="0"/>
        <v>55</v>
      </c>
      <c r="B57" s="50">
        <v>12590240</v>
      </c>
      <c r="C57" s="48">
        <v>41041848</v>
      </c>
      <c r="D57" s="49" t="s">
        <v>135</v>
      </c>
      <c r="E57" s="49" t="s">
        <v>136</v>
      </c>
      <c r="F57" s="49" t="s">
        <v>44</v>
      </c>
      <c r="G57" s="91" t="s">
        <v>33</v>
      </c>
      <c r="H57" s="32">
        <v>55</v>
      </c>
      <c r="I57" s="31">
        <v>45</v>
      </c>
      <c r="J57" s="99">
        <v>83</v>
      </c>
      <c r="K57" s="96">
        <v>55</v>
      </c>
      <c r="L57" s="19"/>
    </row>
    <row r="58" spans="1:12" s="1" customFormat="1" ht="15" customHeight="1" thickBot="1" x14ac:dyDescent="0.4">
      <c r="A58" s="46">
        <f t="shared" si="0"/>
        <v>56</v>
      </c>
      <c r="B58" s="50">
        <v>12607850</v>
      </c>
      <c r="C58" s="48">
        <v>41034706</v>
      </c>
      <c r="D58" s="49" t="s">
        <v>137</v>
      </c>
      <c r="E58" s="49" t="s">
        <v>138</v>
      </c>
      <c r="F58" s="49" t="s">
        <v>85</v>
      </c>
      <c r="G58" s="91" t="s">
        <v>33</v>
      </c>
      <c r="H58" s="32">
        <v>0</v>
      </c>
      <c r="I58" s="31">
        <v>0</v>
      </c>
      <c r="J58" s="99">
        <v>0</v>
      </c>
      <c r="K58" s="96">
        <v>0</v>
      </c>
      <c r="L58" s="19"/>
    </row>
    <row r="59" spans="1:12" s="1" customFormat="1" ht="15" customHeight="1" thickBot="1" x14ac:dyDescent="0.4">
      <c r="A59" s="46">
        <f t="shared" si="0"/>
        <v>57</v>
      </c>
      <c r="B59" s="56"/>
      <c r="C59" s="48">
        <v>41068327</v>
      </c>
      <c r="D59" s="49" t="s">
        <v>139</v>
      </c>
      <c r="E59" s="49" t="s">
        <v>140</v>
      </c>
      <c r="F59" s="49" t="s">
        <v>33</v>
      </c>
      <c r="G59" s="91" t="s">
        <v>33</v>
      </c>
      <c r="H59" s="32">
        <v>17</v>
      </c>
      <c r="I59" s="31">
        <v>20</v>
      </c>
      <c r="J59" s="99">
        <v>39</v>
      </c>
      <c r="K59" s="96">
        <v>50</v>
      </c>
      <c r="L59" s="19"/>
    </row>
    <row r="60" spans="1:12" s="1" customFormat="1" ht="15" customHeight="1" thickBot="1" x14ac:dyDescent="0.4">
      <c r="A60" s="46">
        <f t="shared" si="0"/>
        <v>58</v>
      </c>
      <c r="B60" s="56"/>
      <c r="C60" s="48">
        <v>41074695</v>
      </c>
      <c r="D60" s="49" t="s">
        <v>141</v>
      </c>
      <c r="E60" s="49" t="s">
        <v>142</v>
      </c>
      <c r="F60" s="49" t="s">
        <v>33</v>
      </c>
      <c r="G60" s="91" t="s">
        <v>33</v>
      </c>
      <c r="H60" s="32">
        <v>0</v>
      </c>
      <c r="I60" s="31">
        <v>34</v>
      </c>
      <c r="J60" s="99">
        <v>0</v>
      </c>
      <c r="K60" s="96">
        <v>124</v>
      </c>
      <c r="L60" s="4"/>
    </row>
    <row r="61" spans="1:12" s="1" customFormat="1" ht="15" customHeight="1" thickBot="1" x14ac:dyDescent="0.4">
      <c r="A61" s="46">
        <f t="shared" si="0"/>
        <v>59</v>
      </c>
      <c r="B61" s="56"/>
      <c r="C61" s="48">
        <v>41074817</v>
      </c>
      <c r="D61" s="49" t="s">
        <v>143</v>
      </c>
      <c r="E61" s="49" t="s">
        <v>57</v>
      </c>
      <c r="F61" s="49" t="s">
        <v>51</v>
      </c>
      <c r="G61" s="91" t="s">
        <v>33</v>
      </c>
      <c r="H61" s="32">
        <v>16</v>
      </c>
      <c r="I61" s="31">
        <v>25</v>
      </c>
      <c r="J61" s="99">
        <v>46</v>
      </c>
      <c r="K61" s="96">
        <v>131</v>
      </c>
      <c r="L61" s="19"/>
    </row>
    <row r="62" spans="1:12" s="1" customFormat="1" ht="15" customHeight="1" thickBot="1" x14ac:dyDescent="0.4">
      <c r="A62" s="46">
        <f t="shared" si="0"/>
        <v>60</v>
      </c>
      <c r="B62" s="56"/>
      <c r="C62" s="48">
        <v>41076049</v>
      </c>
      <c r="D62" s="49" t="s">
        <v>144</v>
      </c>
      <c r="E62" s="49" t="s">
        <v>145</v>
      </c>
      <c r="F62" s="49" t="s">
        <v>37</v>
      </c>
      <c r="G62" s="91" t="s">
        <v>33</v>
      </c>
      <c r="H62" s="32">
        <v>18</v>
      </c>
      <c r="I62" s="31">
        <v>41</v>
      </c>
      <c r="J62" s="99">
        <v>84</v>
      </c>
      <c r="K62" s="96">
        <v>223</v>
      </c>
      <c r="L62" s="19"/>
    </row>
    <row r="63" spans="1:12" s="1" customFormat="1" ht="15" customHeight="1" thickBot="1" x14ac:dyDescent="0.4">
      <c r="A63" s="46">
        <f t="shared" si="0"/>
        <v>61</v>
      </c>
      <c r="B63" s="56"/>
      <c r="C63" s="48">
        <v>41078522</v>
      </c>
      <c r="D63" s="49" t="s">
        <v>146</v>
      </c>
      <c r="E63" s="49" t="s">
        <v>32</v>
      </c>
      <c r="F63" s="49" t="s">
        <v>32</v>
      </c>
      <c r="G63" s="91" t="s">
        <v>33</v>
      </c>
      <c r="H63" s="32">
        <v>18</v>
      </c>
      <c r="I63" s="31">
        <v>40</v>
      </c>
      <c r="J63" s="99">
        <v>46</v>
      </c>
      <c r="K63" s="96">
        <v>168</v>
      </c>
      <c r="L63" s="19"/>
    </row>
    <row r="64" spans="1:12" s="1" customFormat="1" ht="15" customHeight="1" thickBot="1" x14ac:dyDescent="0.4">
      <c r="A64" s="46">
        <f t="shared" si="0"/>
        <v>62</v>
      </c>
      <c r="B64" s="56"/>
      <c r="C64" s="48">
        <v>41078900</v>
      </c>
      <c r="D64" s="49" t="s">
        <v>147</v>
      </c>
      <c r="E64" s="57" t="s">
        <v>148</v>
      </c>
      <c r="F64" s="49" t="s">
        <v>85</v>
      </c>
      <c r="G64" s="91" t="s">
        <v>33</v>
      </c>
      <c r="H64" s="32">
        <v>0</v>
      </c>
      <c r="I64" s="31">
        <v>30</v>
      </c>
      <c r="J64" s="99">
        <v>0</v>
      </c>
      <c r="K64" s="96">
        <v>44</v>
      </c>
      <c r="L64" s="19"/>
    </row>
    <row r="65" spans="1:12" s="1" customFormat="1" ht="15" customHeight="1" thickBot="1" x14ac:dyDescent="0.4">
      <c r="A65" s="46">
        <f t="shared" si="0"/>
        <v>63</v>
      </c>
      <c r="B65" s="56"/>
      <c r="C65" s="48">
        <v>41084661</v>
      </c>
      <c r="D65" s="49" t="s">
        <v>149</v>
      </c>
      <c r="E65" s="57" t="s">
        <v>32</v>
      </c>
      <c r="F65" s="57" t="s">
        <v>32</v>
      </c>
      <c r="G65" s="91" t="s">
        <v>33</v>
      </c>
      <c r="H65" s="32">
        <v>0</v>
      </c>
      <c r="I65" s="31">
        <v>31</v>
      </c>
      <c r="J65" s="99">
        <v>0</v>
      </c>
      <c r="K65" s="96">
        <v>95</v>
      </c>
      <c r="L65" s="19"/>
    </row>
    <row r="66" spans="1:12" s="1" customFormat="1" ht="15" customHeight="1" thickBot="1" x14ac:dyDescent="0.4">
      <c r="A66" s="46">
        <f t="shared" si="0"/>
        <v>64</v>
      </c>
      <c r="B66" s="56"/>
      <c r="C66" s="48">
        <v>41077024</v>
      </c>
      <c r="D66" s="49" t="s">
        <v>150</v>
      </c>
      <c r="E66" s="49" t="s">
        <v>101</v>
      </c>
      <c r="F66" s="49" t="s">
        <v>44</v>
      </c>
      <c r="G66" s="91" t="s">
        <v>33</v>
      </c>
      <c r="H66" s="32">
        <v>0</v>
      </c>
      <c r="I66" s="31">
        <v>0</v>
      </c>
      <c r="J66" s="99">
        <v>0</v>
      </c>
      <c r="K66" s="96">
        <v>0</v>
      </c>
      <c r="L66" s="19"/>
    </row>
    <row r="67" spans="1:12" s="1" customFormat="1" ht="15" customHeight="1" thickBot="1" x14ac:dyDescent="0.4">
      <c r="A67" s="46">
        <f t="shared" si="0"/>
        <v>65</v>
      </c>
      <c r="B67" s="56"/>
      <c r="C67" s="48">
        <v>41078933</v>
      </c>
      <c r="D67" s="49" t="s">
        <v>151</v>
      </c>
      <c r="E67" s="49" t="s">
        <v>152</v>
      </c>
      <c r="F67" s="49" t="s">
        <v>51</v>
      </c>
      <c r="G67" s="91" t="s">
        <v>33</v>
      </c>
      <c r="H67" s="32">
        <v>0</v>
      </c>
      <c r="I67" s="31">
        <v>28</v>
      </c>
      <c r="J67" s="99">
        <v>0</v>
      </c>
      <c r="K67" s="96">
        <v>124</v>
      </c>
      <c r="L67" s="19"/>
    </row>
    <row r="68" spans="1:12" s="1" customFormat="1" ht="15" customHeight="1" thickBot="1" x14ac:dyDescent="0.4">
      <c r="A68" s="46">
        <f t="shared" ref="A68:A131" si="1">+A67+1</f>
        <v>66</v>
      </c>
      <c r="B68" s="58"/>
      <c r="C68" s="59">
        <v>41088783</v>
      </c>
      <c r="D68" s="60" t="s">
        <v>153</v>
      </c>
      <c r="E68" s="60" t="s">
        <v>69</v>
      </c>
      <c r="F68" s="49" t="s">
        <v>33</v>
      </c>
      <c r="G68" s="91" t="s">
        <v>33</v>
      </c>
      <c r="H68" s="32">
        <v>0</v>
      </c>
      <c r="I68" s="31">
        <v>27</v>
      </c>
      <c r="J68" s="99">
        <v>0</v>
      </c>
      <c r="K68" s="96">
        <v>107</v>
      </c>
      <c r="L68" s="19"/>
    </row>
    <row r="69" spans="1:12" s="1" customFormat="1" ht="15" customHeight="1" thickBot="1" x14ac:dyDescent="0.4">
      <c r="A69" s="46">
        <f t="shared" si="1"/>
        <v>67</v>
      </c>
      <c r="B69" s="61"/>
      <c r="C69" s="59" t="s">
        <v>838</v>
      </c>
      <c r="D69" s="57" t="s">
        <v>839</v>
      </c>
      <c r="E69" s="57" t="s">
        <v>840</v>
      </c>
      <c r="F69" s="57" t="s">
        <v>51</v>
      </c>
      <c r="G69" s="92" t="s">
        <v>33</v>
      </c>
      <c r="H69" s="32">
        <v>0</v>
      </c>
      <c r="I69" s="31">
        <v>0</v>
      </c>
      <c r="J69" s="99">
        <v>0</v>
      </c>
      <c r="K69" s="96">
        <v>0</v>
      </c>
      <c r="L69" s="19"/>
    </row>
    <row r="70" spans="1:12" s="1" customFormat="1" ht="15" customHeight="1" thickBot="1" x14ac:dyDescent="0.4">
      <c r="A70" s="46">
        <f t="shared" si="1"/>
        <v>68</v>
      </c>
      <c r="B70" s="68"/>
      <c r="C70" s="59" t="s">
        <v>852</v>
      </c>
      <c r="D70" s="57" t="s">
        <v>853</v>
      </c>
      <c r="E70" s="57" t="s">
        <v>854</v>
      </c>
      <c r="F70" s="57" t="s">
        <v>51</v>
      </c>
      <c r="G70" s="92" t="s">
        <v>33</v>
      </c>
      <c r="H70" s="32">
        <v>0</v>
      </c>
      <c r="I70" s="31">
        <v>10</v>
      </c>
      <c r="J70" s="99">
        <v>0</v>
      </c>
      <c r="K70" s="96">
        <v>4</v>
      </c>
      <c r="L70" s="19"/>
    </row>
    <row r="71" spans="1:12" s="1" customFormat="1" ht="15" customHeight="1" thickBot="1" x14ac:dyDescent="0.4">
      <c r="A71" s="46">
        <f t="shared" si="1"/>
        <v>69</v>
      </c>
      <c r="B71" s="87"/>
      <c r="C71" s="59">
        <v>41093202</v>
      </c>
      <c r="D71" s="57" t="s">
        <v>860</v>
      </c>
      <c r="E71" s="57" t="s">
        <v>861</v>
      </c>
      <c r="F71" s="49" t="s">
        <v>37</v>
      </c>
      <c r="G71" s="91" t="s">
        <v>33</v>
      </c>
      <c r="H71" s="32">
        <v>0</v>
      </c>
      <c r="I71" s="31">
        <v>0</v>
      </c>
      <c r="J71" s="99">
        <v>0</v>
      </c>
      <c r="K71" s="96">
        <v>0</v>
      </c>
      <c r="L71" s="19"/>
    </row>
    <row r="72" spans="1:12" s="1" customFormat="1" ht="15" customHeight="1" thickBot="1" x14ac:dyDescent="0.4">
      <c r="A72" s="46">
        <f t="shared" si="1"/>
        <v>70</v>
      </c>
      <c r="B72" s="62">
        <v>12587280</v>
      </c>
      <c r="C72" s="59">
        <v>41042590</v>
      </c>
      <c r="D72" s="57" t="s">
        <v>154</v>
      </c>
      <c r="E72" s="49" t="s">
        <v>155</v>
      </c>
      <c r="F72" s="49" t="s">
        <v>37</v>
      </c>
      <c r="G72" s="91" t="s">
        <v>33</v>
      </c>
      <c r="H72" s="32">
        <v>30</v>
      </c>
      <c r="I72" s="31">
        <v>33</v>
      </c>
      <c r="J72" s="99">
        <v>114</v>
      </c>
      <c r="K72" s="96">
        <v>135</v>
      </c>
      <c r="L72" s="19"/>
    </row>
    <row r="73" spans="1:12" s="1" customFormat="1" ht="15" customHeight="1" thickBot="1" x14ac:dyDescent="0.4">
      <c r="A73" s="46">
        <f t="shared" si="1"/>
        <v>71</v>
      </c>
      <c r="B73" s="47">
        <v>12534370</v>
      </c>
      <c r="C73" s="48">
        <v>41051204</v>
      </c>
      <c r="D73" s="49" t="s">
        <v>156</v>
      </c>
      <c r="E73" s="49" t="s">
        <v>157</v>
      </c>
      <c r="F73" s="49" t="s">
        <v>158</v>
      </c>
      <c r="G73" s="91" t="s">
        <v>159</v>
      </c>
      <c r="H73" s="32">
        <v>78</v>
      </c>
      <c r="I73" s="31">
        <v>51</v>
      </c>
      <c r="J73" s="99">
        <v>98</v>
      </c>
      <c r="K73" s="96">
        <v>71</v>
      </c>
      <c r="L73" s="19"/>
    </row>
    <row r="74" spans="1:12" s="1" customFormat="1" ht="15" customHeight="1" thickBot="1" x14ac:dyDescent="0.4">
      <c r="A74" s="46">
        <f t="shared" si="1"/>
        <v>72</v>
      </c>
      <c r="B74" s="47">
        <v>13144020</v>
      </c>
      <c r="C74" s="48">
        <v>41024045</v>
      </c>
      <c r="D74" s="49" t="s">
        <v>160</v>
      </c>
      <c r="E74" s="49" t="s">
        <v>161</v>
      </c>
      <c r="F74" s="49" t="s">
        <v>161</v>
      </c>
      <c r="G74" s="91" t="s">
        <v>159</v>
      </c>
      <c r="H74" s="32">
        <v>84</v>
      </c>
      <c r="I74" s="31">
        <v>98</v>
      </c>
      <c r="J74" s="99">
        <v>350</v>
      </c>
      <c r="K74" s="96">
        <v>490</v>
      </c>
      <c r="L74" s="19"/>
    </row>
    <row r="75" spans="1:12" s="1" customFormat="1" ht="15" customHeight="1" thickBot="1" x14ac:dyDescent="0.4">
      <c r="A75" s="63">
        <f t="shared" si="1"/>
        <v>73</v>
      </c>
      <c r="B75" s="47">
        <v>11636900</v>
      </c>
      <c r="C75" s="48">
        <v>41048418</v>
      </c>
      <c r="D75" s="49" t="s">
        <v>162</v>
      </c>
      <c r="E75" s="49" t="s">
        <v>161</v>
      </c>
      <c r="F75" s="49" t="s">
        <v>161</v>
      </c>
      <c r="G75" s="91" t="s">
        <v>159</v>
      </c>
      <c r="H75" s="32">
        <v>70</v>
      </c>
      <c r="I75" s="31">
        <v>65</v>
      </c>
      <c r="J75" s="99">
        <v>110</v>
      </c>
      <c r="K75" s="96">
        <v>95</v>
      </c>
      <c r="L75" s="19"/>
    </row>
    <row r="76" spans="1:12" s="1" customFormat="1" ht="15" customHeight="1" thickBot="1" x14ac:dyDescent="0.4">
      <c r="A76" s="46">
        <f t="shared" si="1"/>
        <v>74</v>
      </c>
      <c r="B76" s="47">
        <v>12116600</v>
      </c>
      <c r="C76" s="48">
        <v>41056444</v>
      </c>
      <c r="D76" s="49" t="s">
        <v>163</v>
      </c>
      <c r="E76" s="49" t="s">
        <v>161</v>
      </c>
      <c r="F76" s="49" t="s">
        <v>161</v>
      </c>
      <c r="G76" s="91" t="s">
        <v>159</v>
      </c>
      <c r="H76" s="32">
        <v>12</v>
      </c>
      <c r="I76" s="31">
        <v>0</v>
      </c>
      <c r="J76" s="99">
        <v>12</v>
      </c>
      <c r="K76" s="96">
        <v>0</v>
      </c>
      <c r="L76" s="19"/>
    </row>
    <row r="77" spans="1:12" s="1" customFormat="1" ht="15" customHeight="1" thickBot="1" x14ac:dyDescent="0.4">
      <c r="A77" s="46">
        <f t="shared" si="1"/>
        <v>75</v>
      </c>
      <c r="B77" s="47">
        <v>12530510</v>
      </c>
      <c r="C77" s="48">
        <v>41051533</v>
      </c>
      <c r="D77" s="49" t="s">
        <v>164</v>
      </c>
      <c r="E77" s="49" t="s">
        <v>165</v>
      </c>
      <c r="F77" s="49" t="s">
        <v>161</v>
      </c>
      <c r="G77" s="91" t="s">
        <v>159</v>
      </c>
      <c r="H77" s="32">
        <v>41</v>
      </c>
      <c r="I77" s="31">
        <v>49</v>
      </c>
      <c r="J77" s="99">
        <v>47</v>
      </c>
      <c r="K77" s="96">
        <v>59</v>
      </c>
      <c r="L77" s="19"/>
    </row>
    <row r="78" spans="1:12" s="1" customFormat="1" ht="15" customHeight="1" thickBot="1" x14ac:dyDescent="0.4">
      <c r="A78" s="46">
        <f t="shared" si="1"/>
        <v>76</v>
      </c>
      <c r="B78" s="47">
        <v>11490720</v>
      </c>
      <c r="C78" s="48">
        <v>41049399</v>
      </c>
      <c r="D78" s="49" t="s">
        <v>166</v>
      </c>
      <c r="E78" s="49" t="s">
        <v>167</v>
      </c>
      <c r="F78" s="49" t="s">
        <v>167</v>
      </c>
      <c r="G78" s="91" t="s">
        <v>159</v>
      </c>
      <c r="H78" s="32">
        <v>63</v>
      </c>
      <c r="I78" s="31">
        <v>71</v>
      </c>
      <c r="J78" s="99">
        <v>61</v>
      </c>
      <c r="K78" s="96">
        <v>53</v>
      </c>
      <c r="L78" s="19"/>
    </row>
    <row r="79" spans="1:12" s="1" customFormat="1" ht="15" customHeight="1" thickBot="1" x14ac:dyDescent="0.4">
      <c r="A79" s="46">
        <f t="shared" si="1"/>
        <v>77</v>
      </c>
      <c r="B79" s="47">
        <v>11123030</v>
      </c>
      <c r="C79" s="48">
        <v>41052581</v>
      </c>
      <c r="D79" s="49" t="s">
        <v>168</v>
      </c>
      <c r="E79" s="49" t="s">
        <v>167</v>
      </c>
      <c r="F79" s="49" t="s">
        <v>167</v>
      </c>
      <c r="G79" s="91" t="s">
        <v>159</v>
      </c>
      <c r="H79" s="32">
        <v>35</v>
      </c>
      <c r="I79" s="31">
        <v>44</v>
      </c>
      <c r="J79" s="99">
        <v>119</v>
      </c>
      <c r="K79" s="96">
        <v>154</v>
      </c>
      <c r="L79" s="19"/>
    </row>
    <row r="80" spans="1:12" s="1" customFormat="1" ht="15" customHeight="1" thickBot="1" x14ac:dyDescent="0.4">
      <c r="A80" s="46">
        <f t="shared" si="1"/>
        <v>78</v>
      </c>
      <c r="B80" s="47">
        <v>12534360</v>
      </c>
      <c r="C80" s="48">
        <v>41051201</v>
      </c>
      <c r="D80" s="49" t="s">
        <v>169</v>
      </c>
      <c r="E80" s="49" t="s">
        <v>170</v>
      </c>
      <c r="F80" s="49" t="s">
        <v>170</v>
      </c>
      <c r="G80" s="91" t="s">
        <v>159</v>
      </c>
      <c r="H80" s="32">
        <v>32.5</v>
      </c>
      <c r="I80" s="31">
        <v>49</v>
      </c>
      <c r="J80" s="99">
        <v>57.5</v>
      </c>
      <c r="K80" s="96">
        <v>91</v>
      </c>
      <c r="L80" s="19"/>
    </row>
    <row r="81" spans="1:12" s="1" customFormat="1" ht="15" customHeight="1" thickBot="1" x14ac:dyDescent="0.4">
      <c r="A81" s="46">
        <f t="shared" si="1"/>
        <v>79</v>
      </c>
      <c r="B81" s="47">
        <v>12545310</v>
      </c>
      <c r="C81" s="48">
        <v>41050116</v>
      </c>
      <c r="D81" s="49" t="s">
        <v>171</v>
      </c>
      <c r="E81" s="49" t="s">
        <v>172</v>
      </c>
      <c r="F81" s="49" t="s">
        <v>170</v>
      </c>
      <c r="G81" s="91" t="s">
        <v>159</v>
      </c>
      <c r="H81" s="32">
        <v>82</v>
      </c>
      <c r="I81" s="31">
        <v>77</v>
      </c>
      <c r="J81" s="99">
        <v>226</v>
      </c>
      <c r="K81" s="96">
        <v>203</v>
      </c>
      <c r="L81" s="19"/>
    </row>
    <row r="82" spans="1:12" s="1" customFormat="1" ht="15" customHeight="1" thickBot="1" x14ac:dyDescent="0.4">
      <c r="A82" s="46">
        <f t="shared" si="1"/>
        <v>80</v>
      </c>
      <c r="B82" s="47">
        <v>11151010</v>
      </c>
      <c r="C82" s="48">
        <v>41052684</v>
      </c>
      <c r="D82" s="49" t="s">
        <v>173</v>
      </c>
      <c r="E82" s="49" t="s">
        <v>174</v>
      </c>
      <c r="F82" s="49" t="s">
        <v>174</v>
      </c>
      <c r="G82" s="91" t="s">
        <v>159</v>
      </c>
      <c r="H82" s="32">
        <v>20</v>
      </c>
      <c r="I82" s="31">
        <v>29</v>
      </c>
      <c r="J82" s="99">
        <v>78</v>
      </c>
      <c r="K82" s="96">
        <v>83</v>
      </c>
      <c r="L82" s="19"/>
    </row>
    <row r="83" spans="1:12" s="1" customFormat="1" ht="15" customHeight="1" thickBot="1" x14ac:dyDescent="0.4">
      <c r="A83" s="46">
        <f t="shared" si="1"/>
        <v>81</v>
      </c>
      <c r="B83" s="47">
        <v>12545320</v>
      </c>
      <c r="C83" s="48">
        <v>41050117</v>
      </c>
      <c r="D83" s="49" t="s">
        <v>175</v>
      </c>
      <c r="E83" s="49" t="s">
        <v>176</v>
      </c>
      <c r="F83" s="49" t="s">
        <v>177</v>
      </c>
      <c r="G83" s="91" t="s">
        <v>159</v>
      </c>
      <c r="H83" s="32">
        <v>62.5</v>
      </c>
      <c r="I83" s="31">
        <v>58</v>
      </c>
      <c r="J83" s="99">
        <v>87.5</v>
      </c>
      <c r="K83" s="96">
        <v>94</v>
      </c>
      <c r="L83" s="19"/>
    </row>
    <row r="84" spans="1:12" s="1" customFormat="1" ht="15" customHeight="1" thickBot="1" x14ac:dyDescent="0.4">
      <c r="A84" s="46">
        <f t="shared" si="1"/>
        <v>82</v>
      </c>
      <c r="B84" s="47">
        <v>12279500</v>
      </c>
      <c r="C84" s="48">
        <v>41055345</v>
      </c>
      <c r="D84" s="49" t="s">
        <v>178</v>
      </c>
      <c r="E84" s="49" t="s">
        <v>179</v>
      </c>
      <c r="F84" s="49" t="s">
        <v>179</v>
      </c>
      <c r="G84" s="91" t="s">
        <v>159</v>
      </c>
      <c r="H84" s="32">
        <v>75</v>
      </c>
      <c r="I84" s="31">
        <v>79</v>
      </c>
      <c r="J84" s="99">
        <v>65</v>
      </c>
      <c r="K84" s="96">
        <v>93</v>
      </c>
      <c r="L84" s="19"/>
    </row>
    <row r="85" spans="1:12" s="1" customFormat="1" ht="15" customHeight="1" thickBot="1" x14ac:dyDescent="0.4">
      <c r="A85" s="46">
        <f t="shared" si="1"/>
        <v>83</v>
      </c>
      <c r="B85" s="47">
        <v>12203700</v>
      </c>
      <c r="C85" s="48">
        <v>41055556</v>
      </c>
      <c r="D85" s="49" t="s">
        <v>180</v>
      </c>
      <c r="E85" s="49" t="s">
        <v>159</v>
      </c>
      <c r="F85" s="49" t="s">
        <v>159</v>
      </c>
      <c r="G85" s="91" t="s">
        <v>159</v>
      </c>
      <c r="H85" s="32">
        <v>22</v>
      </c>
      <c r="I85" s="31">
        <v>0</v>
      </c>
      <c r="J85" s="99">
        <v>14</v>
      </c>
      <c r="K85" s="96">
        <v>0</v>
      </c>
      <c r="L85" s="19"/>
    </row>
    <row r="86" spans="1:12" s="1" customFormat="1" ht="15" customHeight="1" thickBot="1" x14ac:dyDescent="0.4">
      <c r="A86" s="46">
        <f t="shared" si="1"/>
        <v>84</v>
      </c>
      <c r="B86" s="47">
        <v>12516120</v>
      </c>
      <c r="C86" s="48">
        <v>41053016</v>
      </c>
      <c r="D86" s="49" t="s">
        <v>132</v>
      </c>
      <c r="E86" s="49" t="s">
        <v>181</v>
      </c>
      <c r="F86" s="49" t="s">
        <v>159</v>
      </c>
      <c r="G86" s="91" t="s">
        <v>159</v>
      </c>
      <c r="H86" s="32">
        <v>52</v>
      </c>
      <c r="I86" s="31">
        <v>55</v>
      </c>
      <c r="J86" s="99">
        <v>128</v>
      </c>
      <c r="K86" s="96">
        <v>161</v>
      </c>
      <c r="L86" s="19"/>
    </row>
    <row r="87" spans="1:12" s="1" customFormat="1" ht="15" customHeight="1" thickBot="1" x14ac:dyDescent="0.4">
      <c r="A87" s="46">
        <f t="shared" si="1"/>
        <v>85</v>
      </c>
      <c r="B87" s="47">
        <v>12516130</v>
      </c>
      <c r="C87" s="48">
        <v>41053017</v>
      </c>
      <c r="D87" s="49" t="s">
        <v>182</v>
      </c>
      <c r="E87" s="49" t="s">
        <v>159</v>
      </c>
      <c r="F87" s="49" t="s">
        <v>159</v>
      </c>
      <c r="G87" s="91" t="s">
        <v>159</v>
      </c>
      <c r="H87" s="32">
        <v>79</v>
      </c>
      <c r="I87" s="31">
        <v>60</v>
      </c>
      <c r="J87" s="99">
        <v>89</v>
      </c>
      <c r="K87" s="96">
        <v>72</v>
      </c>
      <c r="L87" s="19"/>
    </row>
    <row r="88" spans="1:12" s="1" customFormat="1" ht="15" customHeight="1" thickBot="1" x14ac:dyDescent="0.4">
      <c r="A88" s="46">
        <f t="shared" si="1"/>
        <v>86</v>
      </c>
      <c r="B88" s="47">
        <v>12520260</v>
      </c>
      <c r="C88" s="48">
        <v>41052632</v>
      </c>
      <c r="D88" s="49" t="s">
        <v>183</v>
      </c>
      <c r="E88" s="49" t="s">
        <v>184</v>
      </c>
      <c r="F88" s="49" t="s">
        <v>159</v>
      </c>
      <c r="G88" s="91" t="s">
        <v>159</v>
      </c>
      <c r="H88" s="32">
        <v>0</v>
      </c>
      <c r="I88" s="31">
        <v>39</v>
      </c>
      <c r="J88" s="99">
        <v>0</v>
      </c>
      <c r="K88" s="96">
        <v>65</v>
      </c>
      <c r="L88" s="19"/>
    </row>
    <row r="89" spans="1:12" s="1" customFormat="1" ht="15" customHeight="1" thickBot="1" x14ac:dyDescent="0.4">
      <c r="A89" s="46">
        <f t="shared" si="1"/>
        <v>87</v>
      </c>
      <c r="B89" s="53">
        <v>12594140</v>
      </c>
      <c r="C89" s="48">
        <v>41038831</v>
      </c>
      <c r="D89" s="49" t="s">
        <v>185</v>
      </c>
      <c r="E89" s="49" t="s">
        <v>186</v>
      </c>
      <c r="F89" s="49" t="s">
        <v>159</v>
      </c>
      <c r="G89" s="91" t="s">
        <v>159</v>
      </c>
      <c r="H89" s="32">
        <v>31</v>
      </c>
      <c r="I89" s="31">
        <v>22</v>
      </c>
      <c r="J89" s="99">
        <v>65</v>
      </c>
      <c r="K89" s="96">
        <v>74</v>
      </c>
      <c r="L89" s="19"/>
    </row>
    <row r="90" spans="1:12" s="1" customFormat="1" ht="15" customHeight="1" thickBot="1" x14ac:dyDescent="0.4">
      <c r="A90" s="46">
        <f t="shared" si="1"/>
        <v>88</v>
      </c>
      <c r="B90" s="52">
        <v>12596670</v>
      </c>
      <c r="C90" s="48">
        <v>41037859</v>
      </c>
      <c r="D90" s="49" t="s">
        <v>187</v>
      </c>
      <c r="E90" s="49" t="s">
        <v>188</v>
      </c>
      <c r="F90" s="49" t="s">
        <v>159</v>
      </c>
      <c r="G90" s="91" t="s">
        <v>159</v>
      </c>
      <c r="H90" s="32">
        <v>58</v>
      </c>
      <c r="I90" s="31">
        <v>55.5</v>
      </c>
      <c r="J90" s="99">
        <v>110</v>
      </c>
      <c r="K90" s="96">
        <v>130.5</v>
      </c>
      <c r="L90" s="19"/>
    </row>
    <row r="91" spans="1:12" s="1" customFormat="1" ht="15" customHeight="1" thickBot="1" x14ac:dyDescent="0.4">
      <c r="A91" s="46">
        <f t="shared" si="1"/>
        <v>89</v>
      </c>
      <c r="B91" s="52">
        <v>12564390</v>
      </c>
      <c r="C91" s="48">
        <v>41047915</v>
      </c>
      <c r="D91" s="49" t="s">
        <v>189</v>
      </c>
      <c r="E91" s="49" t="s">
        <v>190</v>
      </c>
      <c r="F91" s="49" t="s">
        <v>161</v>
      </c>
      <c r="G91" s="91" t="s">
        <v>159</v>
      </c>
      <c r="H91" s="32">
        <v>75</v>
      </c>
      <c r="I91" s="31">
        <v>63</v>
      </c>
      <c r="J91" s="99">
        <v>147</v>
      </c>
      <c r="K91" s="96">
        <v>189</v>
      </c>
      <c r="L91" s="19"/>
    </row>
    <row r="92" spans="1:12" s="1" customFormat="1" ht="15" customHeight="1" thickBot="1" x14ac:dyDescent="0.4">
      <c r="A92" s="46">
        <f t="shared" si="1"/>
        <v>90</v>
      </c>
      <c r="B92" s="47">
        <v>12605220</v>
      </c>
      <c r="C92" s="48">
        <v>41044947</v>
      </c>
      <c r="D92" s="49" t="s">
        <v>191</v>
      </c>
      <c r="E92" s="49" t="s">
        <v>192</v>
      </c>
      <c r="F92" s="49" t="s">
        <v>177</v>
      </c>
      <c r="G92" s="91" t="s">
        <v>159</v>
      </c>
      <c r="H92" s="32">
        <v>8</v>
      </c>
      <c r="I92" s="31">
        <v>0</v>
      </c>
      <c r="J92" s="99">
        <v>4</v>
      </c>
      <c r="K92" s="96">
        <v>0</v>
      </c>
      <c r="L92" s="19"/>
    </row>
    <row r="93" spans="1:12" s="1" customFormat="1" ht="15" customHeight="1" thickBot="1" x14ac:dyDescent="0.4">
      <c r="A93" s="46">
        <f t="shared" si="1"/>
        <v>91</v>
      </c>
      <c r="B93" s="52">
        <v>12585900</v>
      </c>
      <c r="C93" s="48">
        <v>41044091</v>
      </c>
      <c r="D93" s="49" t="s">
        <v>193</v>
      </c>
      <c r="E93" s="49" t="s">
        <v>179</v>
      </c>
      <c r="F93" s="49" t="s">
        <v>179</v>
      </c>
      <c r="G93" s="91" t="s">
        <v>159</v>
      </c>
      <c r="H93" s="32">
        <v>42.5</v>
      </c>
      <c r="I93" s="31">
        <v>0</v>
      </c>
      <c r="J93" s="99">
        <v>33.5</v>
      </c>
      <c r="K93" s="96">
        <v>0</v>
      </c>
      <c r="L93" s="19"/>
    </row>
    <row r="94" spans="1:12" s="1" customFormat="1" ht="15" customHeight="1" thickBot="1" x14ac:dyDescent="0.4">
      <c r="A94" s="46">
        <f t="shared" si="1"/>
        <v>92</v>
      </c>
      <c r="B94" s="47">
        <v>12585990</v>
      </c>
      <c r="C94" s="48">
        <v>41044116</v>
      </c>
      <c r="D94" s="49" t="s">
        <v>194</v>
      </c>
      <c r="E94" s="49" t="s">
        <v>195</v>
      </c>
      <c r="F94" s="49" t="s">
        <v>161</v>
      </c>
      <c r="G94" s="91" t="s">
        <v>159</v>
      </c>
      <c r="H94" s="32">
        <v>30</v>
      </c>
      <c r="I94" s="31">
        <v>20</v>
      </c>
      <c r="J94" s="99">
        <v>850</v>
      </c>
      <c r="K94" s="96">
        <v>940</v>
      </c>
      <c r="L94" s="19"/>
    </row>
    <row r="95" spans="1:12" s="1" customFormat="1" ht="15" customHeight="1" thickBot="1" x14ac:dyDescent="0.4">
      <c r="A95" s="46">
        <f t="shared" si="1"/>
        <v>93</v>
      </c>
      <c r="B95" s="47"/>
      <c r="C95" s="48">
        <v>41072680</v>
      </c>
      <c r="D95" s="49" t="s">
        <v>196</v>
      </c>
      <c r="E95" s="49" t="s">
        <v>197</v>
      </c>
      <c r="F95" s="49" t="s">
        <v>170</v>
      </c>
      <c r="G95" s="91" t="s">
        <v>159</v>
      </c>
      <c r="H95" s="32">
        <v>26</v>
      </c>
      <c r="I95" s="31">
        <v>27</v>
      </c>
      <c r="J95" s="99">
        <v>66</v>
      </c>
      <c r="K95" s="96">
        <v>101</v>
      </c>
      <c r="L95" s="19"/>
    </row>
    <row r="96" spans="1:12" s="1" customFormat="1" ht="15" customHeight="1" thickBot="1" x14ac:dyDescent="0.4">
      <c r="A96" s="46">
        <f t="shared" si="1"/>
        <v>94</v>
      </c>
      <c r="B96" s="47"/>
      <c r="C96" s="48">
        <v>41078391</v>
      </c>
      <c r="D96" s="49" t="s">
        <v>198</v>
      </c>
      <c r="E96" s="49" t="s">
        <v>199</v>
      </c>
      <c r="F96" s="49" t="s">
        <v>161</v>
      </c>
      <c r="G96" s="91" t="s">
        <v>159</v>
      </c>
      <c r="H96" s="32">
        <v>0</v>
      </c>
      <c r="I96" s="31">
        <v>15</v>
      </c>
      <c r="J96" s="99">
        <v>0</v>
      </c>
      <c r="K96" s="96">
        <v>109</v>
      </c>
      <c r="L96" s="19"/>
    </row>
    <row r="97" spans="1:12" s="1" customFormat="1" ht="15" customHeight="1" thickBot="1" x14ac:dyDescent="0.4">
      <c r="A97" s="46">
        <f t="shared" si="1"/>
        <v>95</v>
      </c>
      <c r="B97" s="47"/>
      <c r="C97" s="48">
        <v>41086639</v>
      </c>
      <c r="D97" s="49" t="s">
        <v>200</v>
      </c>
      <c r="E97" s="49" t="s">
        <v>201</v>
      </c>
      <c r="F97" s="49" t="s">
        <v>174</v>
      </c>
      <c r="G97" s="91" t="s">
        <v>159</v>
      </c>
      <c r="H97" s="32">
        <v>0</v>
      </c>
      <c r="I97" s="31">
        <v>16</v>
      </c>
      <c r="J97" s="99">
        <v>0</v>
      </c>
      <c r="K97" s="96">
        <v>80</v>
      </c>
      <c r="L97" s="19"/>
    </row>
    <row r="98" spans="1:12" s="1" customFormat="1" ht="15" customHeight="1" thickBot="1" x14ac:dyDescent="0.4">
      <c r="A98" s="46">
        <f t="shared" si="1"/>
        <v>96</v>
      </c>
      <c r="B98" s="64"/>
      <c r="C98" s="48">
        <v>41093173</v>
      </c>
      <c r="D98" s="49" t="s">
        <v>846</v>
      </c>
      <c r="E98" s="49" t="s">
        <v>847</v>
      </c>
      <c r="F98" s="49" t="s">
        <v>159</v>
      </c>
      <c r="G98" s="91" t="s">
        <v>159</v>
      </c>
      <c r="H98" s="32">
        <v>0</v>
      </c>
      <c r="I98" s="31">
        <v>0</v>
      </c>
      <c r="J98" s="99">
        <v>0</v>
      </c>
      <c r="K98" s="96">
        <v>0</v>
      </c>
      <c r="L98" s="19"/>
    </row>
    <row r="99" spans="1:12" s="1" customFormat="1" ht="15" customHeight="1" thickBot="1" x14ac:dyDescent="0.4">
      <c r="A99" s="46">
        <f t="shared" si="1"/>
        <v>97</v>
      </c>
      <c r="B99" s="47"/>
      <c r="C99" s="47">
        <v>41093741</v>
      </c>
      <c r="D99" s="49" t="s">
        <v>862</v>
      </c>
      <c r="E99" s="49" t="s">
        <v>161</v>
      </c>
      <c r="F99" s="49" t="s">
        <v>161</v>
      </c>
      <c r="G99" s="91" t="s">
        <v>159</v>
      </c>
      <c r="H99" s="32">
        <v>0</v>
      </c>
      <c r="I99" s="31">
        <v>0</v>
      </c>
      <c r="J99" s="99">
        <v>0</v>
      </c>
      <c r="K99" s="96">
        <v>0</v>
      </c>
      <c r="L99" s="19"/>
    </row>
    <row r="100" spans="1:12" s="1" customFormat="1" ht="15" customHeight="1" thickBot="1" x14ac:dyDescent="0.4">
      <c r="A100" s="46">
        <f t="shared" si="1"/>
        <v>98</v>
      </c>
      <c r="B100" s="47">
        <v>12549850</v>
      </c>
      <c r="C100" s="48">
        <v>41049861</v>
      </c>
      <c r="D100" s="49" t="s">
        <v>202</v>
      </c>
      <c r="E100" s="49" t="s">
        <v>203</v>
      </c>
      <c r="F100" s="49" t="s">
        <v>159</v>
      </c>
      <c r="G100" s="91" t="s">
        <v>159</v>
      </c>
      <c r="H100" s="32">
        <v>32</v>
      </c>
      <c r="I100" s="31">
        <v>10</v>
      </c>
      <c r="J100" s="99">
        <v>28</v>
      </c>
      <c r="K100" s="96">
        <v>26</v>
      </c>
      <c r="L100" s="19"/>
    </row>
    <row r="101" spans="1:12" s="1" customFormat="1" ht="15" customHeight="1" thickBot="1" x14ac:dyDescent="0.4">
      <c r="A101" s="46">
        <f t="shared" si="1"/>
        <v>99</v>
      </c>
      <c r="B101" s="47">
        <v>11004030</v>
      </c>
      <c r="C101" s="48">
        <v>41053784</v>
      </c>
      <c r="D101" s="49" t="s">
        <v>204</v>
      </c>
      <c r="E101" s="49" t="s">
        <v>205</v>
      </c>
      <c r="F101" s="49" t="s">
        <v>206</v>
      </c>
      <c r="G101" s="91" t="s">
        <v>206</v>
      </c>
      <c r="H101" s="32">
        <v>212</v>
      </c>
      <c r="I101" s="31">
        <v>227.5</v>
      </c>
      <c r="J101" s="99">
        <v>104</v>
      </c>
      <c r="K101" s="96">
        <v>102.5</v>
      </c>
      <c r="L101" s="19"/>
    </row>
    <row r="102" spans="1:12" s="1" customFormat="1" ht="15" customHeight="1" thickBot="1" x14ac:dyDescent="0.4">
      <c r="A102" s="46">
        <f t="shared" si="1"/>
        <v>100</v>
      </c>
      <c r="B102" s="47">
        <v>12203600</v>
      </c>
      <c r="C102" s="48">
        <v>41055555</v>
      </c>
      <c r="D102" s="49" t="s">
        <v>207</v>
      </c>
      <c r="E102" s="49" t="s">
        <v>208</v>
      </c>
      <c r="F102" s="49" t="s">
        <v>208</v>
      </c>
      <c r="G102" s="91" t="s">
        <v>206</v>
      </c>
      <c r="H102" s="32">
        <v>105</v>
      </c>
      <c r="I102" s="31">
        <v>94.5</v>
      </c>
      <c r="J102" s="99">
        <v>219</v>
      </c>
      <c r="K102" s="96">
        <v>179.5</v>
      </c>
      <c r="L102" s="19"/>
    </row>
    <row r="103" spans="1:12" s="1" customFormat="1" ht="15" customHeight="1" thickBot="1" x14ac:dyDescent="0.4">
      <c r="A103" s="46">
        <f t="shared" si="1"/>
        <v>101</v>
      </c>
      <c r="B103" s="47">
        <v>11003030</v>
      </c>
      <c r="C103" s="48">
        <v>41053734</v>
      </c>
      <c r="D103" s="49" t="s">
        <v>209</v>
      </c>
      <c r="E103" s="49" t="s">
        <v>206</v>
      </c>
      <c r="F103" s="49" t="s">
        <v>206</v>
      </c>
      <c r="G103" s="91" t="s">
        <v>206</v>
      </c>
      <c r="H103" s="32">
        <v>34.5</v>
      </c>
      <c r="I103" s="31">
        <v>45</v>
      </c>
      <c r="J103" s="99">
        <v>43.5</v>
      </c>
      <c r="K103" s="96">
        <v>45</v>
      </c>
      <c r="L103" s="19"/>
    </row>
    <row r="104" spans="1:12" s="1" customFormat="1" ht="15" customHeight="1" thickBot="1" x14ac:dyDescent="0.4">
      <c r="A104" s="46">
        <f t="shared" si="1"/>
        <v>102</v>
      </c>
      <c r="B104" s="47">
        <v>11196010</v>
      </c>
      <c r="C104" s="48">
        <v>41052118</v>
      </c>
      <c r="D104" s="49" t="s">
        <v>210</v>
      </c>
      <c r="E104" s="49" t="s">
        <v>211</v>
      </c>
      <c r="F104" s="49" t="s">
        <v>206</v>
      </c>
      <c r="G104" s="91" t="s">
        <v>206</v>
      </c>
      <c r="H104" s="32">
        <v>92</v>
      </c>
      <c r="I104" s="31">
        <v>84</v>
      </c>
      <c r="J104" s="99">
        <v>96</v>
      </c>
      <c r="K104" s="96">
        <v>96</v>
      </c>
      <c r="L104" s="19"/>
    </row>
    <row r="105" spans="1:12" s="1" customFormat="1" ht="15" customHeight="1" thickBot="1" x14ac:dyDescent="0.4">
      <c r="A105" s="46">
        <f t="shared" si="1"/>
        <v>103</v>
      </c>
      <c r="B105" s="47">
        <v>11478220</v>
      </c>
      <c r="C105" s="48">
        <v>41049908</v>
      </c>
      <c r="D105" s="49" t="s">
        <v>212</v>
      </c>
      <c r="E105" s="49" t="s">
        <v>213</v>
      </c>
      <c r="F105" s="49" t="s">
        <v>206</v>
      </c>
      <c r="G105" s="91" t="s">
        <v>206</v>
      </c>
      <c r="H105" s="32">
        <v>148.5</v>
      </c>
      <c r="I105" s="31">
        <v>153</v>
      </c>
      <c r="J105" s="99">
        <v>121.5</v>
      </c>
      <c r="K105" s="96">
        <v>135</v>
      </c>
      <c r="L105" s="19"/>
    </row>
    <row r="106" spans="1:12" s="1" customFormat="1" ht="15" customHeight="1" thickBot="1" x14ac:dyDescent="0.4">
      <c r="A106" s="46">
        <f t="shared" si="1"/>
        <v>104</v>
      </c>
      <c r="B106" s="65">
        <v>11478311</v>
      </c>
      <c r="C106" s="48">
        <v>41058567</v>
      </c>
      <c r="D106" s="49" t="s">
        <v>214</v>
      </c>
      <c r="E106" s="49" t="s">
        <v>215</v>
      </c>
      <c r="F106" s="49" t="s">
        <v>206</v>
      </c>
      <c r="G106" s="91" t="s">
        <v>206</v>
      </c>
      <c r="H106" s="32">
        <v>36</v>
      </c>
      <c r="I106" s="31">
        <v>36</v>
      </c>
      <c r="J106" s="99">
        <v>396</v>
      </c>
      <c r="K106" s="96">
        <v>354</v>
      </c>
      <c r="L106" s="19"/>
    </row>
    <row r="107" spans="1:12" s="1" customFormat="1" ht="15" customHeight="1" thickBot="1" x14ac:dyDescent="0.4">
      <c r="A107" s="63">
        <f t="shared" si="1"/>
        <v>105</v>
      </c>
      <c r="B107" s="47">
        <v>12595970</v>
      </c>
      <c r="C107" s="48">
        <v>41037553</v>
      </c>
      <c r="D107" s="49" t="s">
        <v>216</v>
      </c>
      <c r="E107" s="49" t="s">
        <v>217</v>
      </c>
      <c r="F107" s="49" t="s">
        <v>206</v>
      </c>
      <c r="G107" s="91" t="s">
        <v>206</v>
      </c>
      <c r="H107" s="32">
        <v>21</v>
      </c>
      <c r="I107" s="31">
        <v>26</v>
      </c>
      <c r="J107" s="99">
        <v>209</v>
      </c>
      <c r="K107" s="96">
        <v>226</v>
      </c>
      <c r="L107" s="19"/>
    </row>
    <row r="108" spans="1:12" s="1" customFormat="1" ht="15" customHeight="1" thickBot="1" x14ac:dyDescent="0.4">
      <c r="A108" s="46">
        <f t="shared" si="1"/>
        <v>106</v>
      </c>
      <c r="B108" s="47">
        <v>11014010</v>
      </c>
      <c r="C108" s="48">
        <v>41053242</v>
      </c>
      <c r="D108" s="49" t="s">
        <v>218</v>
      </c>
      <c r="E108" s="49" t="s">
        <v>219</v>
      </c>
      <c r="F108" s="49" t="s">
        <v>219</v>
      </c>
      <c r="G108" s="91" t="s">
        <v>206</v>
      </c>
      <c r="H108" s="32">
        <v>82.5</v>
      </c>
      <c r="I108" s="31">
        <v>66</v>
      </c>
      <c r="J108" s="99">
        <v>249.5</v>
      </c>
      <c r="K108" s="96">
        <v>190</v>
      </c>
      <c r="L108" s="19"/>
    </row>
    <row r="109" spans="1:12" s="1" customFormat="1" ht="15" customHeight="1" thickBot="1" x14ac:dyDescent="0.4">
      <c r="A109" s="46">
        <f t="shared" si="1"/>
        <v>107</v>
      </c>
      <c r="B109" s="47">
        <v>11688500</v>
      </c>
      <c r="C109" s="48">
        <v>41058644</v>
      </c>
      <c r="D109" s="49" t="s">
        <v>863</v>
      </c>
      <c r="E109" s="49" t="s">
        <v>220</v>
      </c>
      <c r="F109" s="49" t="s">
        <v>221</v>
      </c>
      <c r="G109" s="91" t="s">
        <v>206</v>
      </c>
      <c r="H109" s="32">
        <v>70</v>
      </c>
      <c r="I109" s="31">
        <v>68.5</v>
      </c>
      <c r="J109" s="99">
        <v>82</v>
      </c>
      <c r="K109" s="96">
        <v>85.5</v>
      </c>
      <c r="L109" s="19"/>
    </row>
    <row r="110" spans="1:12" s="1" customFormat="1" ht="15" customHeight="1" thickBot="1" x14ac:dyDescent="0.4">
      <c r="A110" s="46">
        <f t="shared" si="1"/>
        <v>108</v>
      </c>
      <c r="B110" s="47">
        <v>12159500</v>
      </c>
      <c r="C110" s="48">
        <v>41055974</v>
      </c>
      <c r="D110" s="49" t="s">
        <v>222</v>
      </c>
      <c r="E110" s="49" t="s">
        <v>223</v>
      </c>
      <c r="F110" s="49" t="s">
        <v>208</v>
      </c>
      <c r="G110" s="91" t="s">
        <v>206</v>
      </c>
      <c r="H110" s="32">
        <v>44.5</v>
      </c>
      <c r="I110" s="31">
        <v>38</v>
      </c>
      <c r="J110" s="99">
        <v>113.5</v>
      </c>
      <c r="K110" s="96">
        <v>116</v>
      </c>
      <c r="L110" s="19"/>
    </row>
    <row r="111" spans="1:12" s="1" customFormat="1" ht="15" customHeight="1" thickBot="1" x14ac:dyDescent="0.4">
      <c r="A111" s="46">
        <f t="shared" si="1"/>
        <v>109</v>
      </c>
      <c r="B111" s="47">
        <v>12370900</v>
      </c>
      <c r="C111" s="48">
        <v>41054420</v>
      </c>
      <c r="D111" s="49" t="s">
        <v>224</v>
      </c>
      <c r="E111" s="49" t="s">
        <v>225</v>
      </c>
      <c r="F111" s="49" t="s">
        <v>226</v>
      </c>
      <c r="G111" s="91" t="s">
        <v>206</v>
      </c>
      <c r="H111" s="32">
        <v>25</v>
      </c>
      <c r="I111" s="31">
        <v>21.5</v>
      </c>
      <c r="J111" s="99">
        <v>115</v>
      </c>
      <c r="K111" s="96">
        <v>70.5</v>
      </c>
      <c r="L111" s="19"/>
    </row>
    <row r="112" spans="1:12" s="1" customFormat="1" ht="15" customHeight="1" thickBot="1" x14ac:dyDescent="0.4">
      <c r="A112" s="46">
        <f t="shared" si="1"/>
        <v>110</v>
      </c>
      <c r="B112" s="47">
        <v>12514670</v>
      </c>
      <c r="C112" s="48">
        <v>41053667</v>
      </c>
      <c r="D112" s="49" t="s">
        <v>227</v>
      </c>
      <c r="E112" s="49" t="s">
        <v>226</v>
      </c>
      <c r="F112" s="49" t="s">
        <v>226</v>
      </c>
      <c r="G112" s="91" t="s">
        <v>206</v>
      </c>
      <c r="H112" s="32">
        <v>106</v>
      </c>
      <c r="I112" s="31">
        <v>118</v>
      </c>
      <c r="J112" s="99">
        <v>182</v>
      </c>
      <c r="K112" s="96">
        <v>194</v>
      </c>
      <c r="L112" s="19"/>
    </row>
    <row r="113" spans="1:12" s="1" customFormat="1" ht="15" customHeight="1" thickBot="1" x14ac:dyDescent="0.4">
      <c r="A113" s="46">
        <f t="shared" si="1"/>
        <v>111</v>
      </c>
      <c r="B113" s="52">
        <v>12600050</v>
      </c>
      <c r="C113" s="48">
        <v>41036938</v>
      </c>
      <c r="D113" s="49" t="s">
        <v>228</v>
      </c>
      <c r="E113" s="49" t="s">
        <v>229</v>
      </c>
      <c r="F113" s="49" t="s">
        <v>226</v>
      </c>
      <c r="G113" s="91" t="s">
        <v>206</v>
      </c>
      <c r="H113" s="32">
        <v>8</v>
      </c>
      <c r="I113" s="31">
        <v>17.5</v>
      </c>
      <c r="J113" s="99">
        <v>28</v>
      </c>
      <c r="K113" s="96">
        <v>78.5</v>
      </c>
      <c r="L113" s="19"/>
    </row>
    <row r="114" spans="1:12" s="1" customFormat="1" ht="15" customHeight="1" thickBot="1" x14ac:dyDescent="0.4">
      <c r="A114" s="46">
        <f t="shared" si="1"/>
        <v>112</v>
      </c>
      <c r="B114" s="47">
        <v>12514640</v>
      </c>
      <c r="C114" s="48">
        <v>41053666</v>
      </c>
      <c r="D114" s="49" t="s">
        <v>230</v>
      </c>
      <c r="E114" s="49" t="s">
        <v>231</v>
      </c>
      <c r="F114" s="49" t="s">
        <v>231</v>
      </c>
      <c r="G114" s="91" t="s">
        <v>206</v>
      </c>
      <c r="H114" s="32">
        <v>70</v>
      </c>
      <c r="I114" s="31">
        <v>50</v>
      </c>
      <c r="J114" s="99">
        <v>112</v>
      </c>
      <c r="K114" s="96">
        <v>116</v>
      </c>
      <c r="L114" s="19"/>
    </row>
    <row r="115" spans="1:12" s="1" customFormat="1" ht="15" customHeight="1" thickBot="1" x14ac:dyDescent="0.4">
      <c r="A115" s="46">
        <f t="shared" si="1"/>
        <v>113</v>
      </c>
      <c r="B115" s="47">
        <v>12550330</v>
      </c>
      <c r="C115" s="48">
        <v>41049197</v>
      </c>
      <c r="D115" s="49" t="s">
        <v>232</v>
      </c>
      <c r="E115" s="49" t="s">
        <v>233</v>
      </c>
      <c r="F115" s="49" t="s">
        <v>219</v>
      </c>
      <c r="G115" s="91" t="s">
        <v>206</v>
      </c>
      <c r="H115" s="32">
        <v>77</v>
      </c>
      <c r="I115" s="31">
        <v>55.5</v>
      </c>
      <c r="J115" s="99">
        <v>123</v>
      </c>
      <c r="K115" s="96">
        <v>112.5</v>
      </c>
      <c r="L115" s="19"/>
    </row>
    <row r="116" spans="1:12" s="1" customFormat="1" ht="15" customHeight="1" thickBot="1" x14ac:dyDescent="0.4">
      <c r="A116" s="46">
        <f t="shared" si="1"/>
        <v>114</v>
      </c>
      <c r="B116" s="47"/>
      <c r="C116" s="48">
        <v>41052527</v>
      </c>
      <c r="D116" s="49" t="s">
        <v>848</v>
      </c>
      <c r="E116" s="49" t="s">
        <v>234</v>
      </c>
      <c r="F116" s="49" t="s">
        <v>206</v>
      </c>
      <c r="G116" s="91" t="s">
        <v>206</v>
      </c>
      <c r="H116" s="32">
        <v>4</v>
      </c>
      <c r="I116" s="31">
        <v>16</v>
      </c>
      <c r="J116" s="99">
        <v>8</v>
      </c>
      <c r="K116" s="96">
        <v>22</v>
      </c>
      <c r="L116" s="19"/>
    </row>
    <row r="117" spans="1:12" s="1" customFormat="1" ht="15" customHeight="1" thickBot="1" x14ac:dyDescent="0.4">
      <c r="A117" s="46">
        <f t="shared" si="1"/>
        <v>115</v>
      </c>
      <c r="B117" s="47">
        <v>12530590</v>
      </c>
      <c r="C117" s="48">
        <v>41051577</v>
      </c>
      <c r="D117" s="49" t="s">
        <v>235</v>
      </c>
      <c r="E117" s="49" t="s">
        <v>236</v>
      </c>
      <c r="F117" s="49" t="s">
        <v>208</v>
      </c>
      <c r="G117" s="91" t="s">
        <v>206</v>
      </c>
      <c r="H117" s="32">
        <v>56.5</v>
      </c>
      <c r="I117" s="31">
        <v>60.5</v>
      </c>
      <c r="J117" s="99">
        <v>93.5</v>
      </c>
      <c r="K117" s="96">
        <v>113.5</v>
      </c>
      <c r="L117" s="19"/>
    </row>
    <row r="118" spans="1:12" s="1" customFormat="1" ht="15" customHeight="1" thickBot="1" x14ac:dyDescent="0.4">
      <c r="A118" s="46">
        <f t="shared" si="1"/>
        <v>116</v>
      </c>
      <c r="B118" s="47">
        <v>12530670</v>
      </c>
      <c r="C118" s="48">
        <v>41051591</v>
      </c>
      <c r="D118" s="49" t="s">
        <v>237</v>
      </c>
      <c r="E118" s="49" t="s">
        <v>238</v>
      </c>
      <c r="F118" s="49" t="s">
        <v>219</v>
      </c>
      <c r="G118" s="91" t="s">
        <v>206</v>
      </c>
      <c r="H118" s="32">
        <v>28</v>
      </c>
      <c r="I118" s="31">
        <v>36</v>
      </c>
      <c r="J118" s="99">
        <v>44</v>
      </c>
      <c r="K118" s="96">
        <v>72</v>
      </c>
      <c r="L118" s="19"/>
    </row>
    <row r="119" spans="1:12" s="1" customFormat="1" ht="15" customHeight="1" thickBot="1" x14ac:dyDescent="0.4">
      <c r="A119" s="46">
        <f t="shared" si="1"/>
        <v>117</v>
      </c>
      <c r="B119" s="47">
        <v>12534410</v>
      </c>
      <c r="C119" s="48">
        <v>41051211</v>
      </c>
      <c r="D119" s="49" t="s">
        <v>239</v>
      </c>
      <c r="E119" s="49" t="s">
        <v>219</v>
      </c>
      <c r="F119" s="49" t="s">
        <v>219</v>
      </c>
      <c r="G119" s="91" t="s">
        <v>206</v>
      </c>
      <c r="H119" s="32">
        <v>20</v>
      </c>
      <c r="I119" s="31">
        <v>16</v>
      </c>
      <c r="J119" s="99">
        <v>28</v>
      </c>
      <c r="K119" s="96">
        <v>32</v>
      </c>
      <c r="L119" s="19"/>
    </row>
    <row r="120" spans="1:12" s="1" customFormat="1" ht="15" customHeight="1" thickBot="1" x14ac:dyDescent="0.4">
      <c r="A120" s="46">
        <f t="shared" si="1"/>
        <v>118</v>
      </c>
      <c r="B120" s="56">
        <v>12600040</v>
      </c>
      <c r="C120" s="48">
        <v>41036935</v>
      </c>
      <c r="D120" s="49" t="s">
        <v>240</v>
      </c>
      <c r="E120" s="49" t="s">
        <v>241</v>
      </c>
      <c r="F120" s="49" t="s">
        <v>219</v>
      </c>
      <c r="G120" s="91" t="s">
        <v>206</v>
      </c>
      <c r="H120" s="32">
        <v>17</v>
      </c>
      <c r="I120" s="31">
        <v>21</v>
      </c>
      <c r="J120" s="99">
        <v>39</v>
      </c>
      <c r="K120" s="96">
        <v>53</v>
      </c>
      <c r="L120" s="19"/>
    </row>
    <row r="121" spans="1:12" s="1" customFormat="1" ht="15" customHeight="1" thickBot="1" x14ac:dyDescent="0.4">
      <c r="A121" s="46">
        <f t="shared" si="1"/>
        <v>119</v>
      </c>
      <c r="B121" s="47">
        <v>12541310</v>
      </c>
      <c r="C121" s="48">
        <v>41050429</v>
      </c>
      <c r="D121" s="49" t="s">
        <v>242</v>
      </c>
      <c r="E121" s="49" t="s">
        <v>208</v>
      </c>
      <c r="F121" s="49" t="s">
        <v>208</v>
      </c>
      <c r="G121" s="91" t="s">
        <v>206</v>
      </c>
      <c r="H121" s="32">
        <v>92</v>
      </c>
      <c r="I121" s="31">
        <v>81</v>
      </c>
      <c r="J121" s="99">
        <v>58</v>
      </c>
      <c r="K121" s="96">
        <v>71</v>
      </c>
      <c r="L121" s="19"/>
    </row>
    <row r="122" spans="1:12" s="1" customFormat="1" ht="15" customHeight="1" thickBot="1" x14ac:dyDescent="0.4">
      <c r="A122" s="46">
        <f t="shared" si="1"/>
        <v>120</v>
      </c>
      <c r="B122" s="56">
        <v>12556470</v>
      </c>
      <c r="C122" s="48">
        <v>41048440</v>
      </c>
      <c r="D122" s="49" t="s">
        <v>243</v>
      </c>
      <c r="E122" s="49" t="s">
        <v>244</v>
      </c>
      <c r="F122" s="49" t="s">
        <v>231</v>
      </c>
      <c r="G122" s="91" t="s">
        <v>206</v>
      </c>
      <c r="H122" s="32">
        <v>24</v>
      </c>
      <c r="I122" s="31">
        <v>29</v>
      </c>
      <c r="J122" s="99">
        <v>72</v>
      </c>
      <c r="K122" s="96">
        <v>87</v>
      </c>
      <c r="L122" s="19"/>
    </row>
    <row r="123" spans="1:12" s="1" customFormat="1" ht="15" customHeight="1" thickBot="1" x14ac:dyDescent="0.4">
      <c r="A123" s="46">
        <f t="shared" si="1"/>
        <v>121</v>
      </c>
      <c r="B123" s="56">
        <v>12558870</v>
      </c>
      <c r="C123" s="48">
        <v>41048005</v>
      </c>
      <c r="D123" s="49" t="s">
        <v>245</v>
      </c>
      <c r="E123" s="49" t="s">
        <v>221</v>
      </c>
      <c r="F123" s="49" t="s">
        <v>221</v>
      </c>
      <c r="G123" s="91" t="s">
        <v>206</v>
      </c>
      <c r="H123" s="32">
        <v>70</v>
      </c>
      <c r="I123" s="31">
        <v>86</v>
      </c>
      <c r="J123" s="99">
        <v>98</v>
      </c>
      <c r="K123" s="96">
        <v>116</v>
      </c>
      <c r="L123" s="19"/>
    </row>
    <row r="124" spans="1:12" s="1" customFormat="1" ht="15" customHeight="1" thickBot="1" x14ac:dyDescent="0.4">
      <c r="A124" s="46">
        <f t="shared" si="1"/>
        <v>122</v>
      </c>
      <c r="B124" s="56">
        <v>12590310</v>
      </c>
      <c r="C124" s="48">
        <v>41041866</v>
      </c>
      <c r="D124" s="49" t="s">
        <v>246</v>
      </c>
      <c r="E124" s="49" t="s">
        <v>247</v>
      </c>
      <c r="F124" s="49" t="s">
        <v>221</v>
      </c>
      <c r="G124" s="91" t="s">
        <v>206</v>
      </c>
      <c r="H124" s="32">
        <v>30</v>
      </c>
      <c r="I124" s="31">
        <v>28</v>
      </c>
      <c r="J124" s="99">
        <v>78</v>
      </c>
      <c r="K124" s="96">
        <v>92</v>
      </c>
      <c r="L124" s="19"/>
    </row>
    <row r="125" spans="1:12" s="1" customFormat="1" ht="15" customHeight="1" thickBot="1" x14ac:dyDescent="0.4">
      <c r="A125" s="46">
        <f t="shared" si="1"/>
        <v>123</v>
      </c>
      <c r="B125" s="56">
        <v>12570320</v>
      </c>
      <c r="C125" s="48">
        <v>41044673</v>
      </c>
      <c r="D125" s="49" t="s">
        <v>248</v>
      </c>
      <c r="E125" s="49" t="s">
        <v>249</v>
      </c>
      <c r="F125" s="49" t="s">
        <v>250</v>
      </c>
      <c r="G125" s="91" t="s">
        <v>206</v>
      </c>
      <c r="H125" s="32">
        <v>21</v>
      </c>
      <c r="I125" s="31">
        <v>21</v>
      </c>
      <c r="J125" s="99">
        <v>77</v>
      </c>
      <c r="K125" s="96">
        <v>131</v>
      </c>
      <c r="L125" s="19"/>
    </row>
    <row r="126" spans="1:12" s="1" customFormat="1" ht="15" customHeight="1" thickBot="1" x14ac:dyDescent="0.4">
      <c r="A126" s="46">
        <f t="shared" si="1"/>
        <v>124</v>
      </c>
      <c r="B126" s="47">
        <v>12600080</v>
      </c>
      <c r="C126" s="48">
        <v>41036944</v>
      </c>
      <c r="D126" s="49" t="s">
        <v>251</v>
      </c>
      <c r="E126" s="49" t="s">
        <v>252</v>
      </c>
      <c r="F126" s="49" t="s">
        <v>250</v>
      </c>
      <c r="G126" s="91" t="s">
        <v>206</v>
      </c>
      <c r="H126" s="32">
        <v>36</v>
      </c>
      <c r="I126" s="31">
        <v>40</v>
      </c>
      <c r="J126" s="99">
        <v>48</v>
      </c>
      <c r="K126" s="96">
        <v>56</v>
      </c>
      <c r="L126" s="19"/>
    </row>
    <row r="127" spans="1:12" s="1" customFormat="1" ht="15" customHeight="1" thickBot="1" x14ac:dyDescent="0.4">
      <c r="A127" s="46">
        <f t="shared" si="1"/>
        <v>125</v>
      </c>
      <c r="B127" s="56">
        <v>12579010</v>
      </c>
      <c r="C127" s="48">
        <v>41043302</v>
      </c>
      <c r="D127" s="49" t="s">
        <v>253</v>
      </c>
      <c r="E127" s="49" t="s">
        <v>254</v>
      </c>
      <c r="F127" s="49" t="s">
        <v>219</v>
      </c>
      <c r="G127" s="91" t="s">
        <v>206</v>
      </c>
      <c r="H127" s="32">
        <v>49.5</v>
      </c>
      <c r="I127" s="31">
        <v>45</v>
      </c>
      <c r="J127" s="99">
        <v>166.5</v>
      </c>
      <c r="K127" s="96">
        <v>135</v>
      </c>
      <c r="L127" s="19"/>
    </row>
    <row r="128" spans="1:12" s="1" customFormat="1" ht="15" customHeight="1" thickBot="1" x14ac:dyDescent="0.4">
      <c r="A128" s="46">
        <f t="shared" si="1"/>
        <v>126</v>
      </c>
      <c r="B128" s="56">
        <v>12585970</v>
      </c>
      <c r="C128" s="48">
        <v>41044112</v>
      </c>
      <c r="D128" s="49" t="s">
        <v>255</v>
      </c>
      <c r="E128" s="49" t="s">
        <v>256</v>
      </c>
      <c r="F128" s="49" t="s">
        <v>257</v>
      </c>
      <c r="G128" s="91" t="s">
        <v>206</v>
      </c>
      <c r="H128" s="32">
        <v>24</v>
      </c>
      <c r="I128" s="31">
        <v>24</v>
      </c>
      <c r="J128" s="99">
        <v>12</v>
      </c>
      <c r="K128" s="96">
        <v>12</v>
      </c>
      <c r="L128" s="19"/>
    </row>
    <row r="129" spans="1:12" s="1" customFormat="1" ht="15" customHeight="1" thickBot="1" x14ac:dyDescent="0.4">
      <c r="A129" s="46">
        <f t="shared" si="1"/>
        <v>127</v>
      </c>
      <c r="B129" s="47">
        <v>12605240</v>
      </c>
      <c r="C129" s="48">
        <v>41034146</v>
      </c>
      <c r="D129" s="49" t="s">
        <v>258</v>
      </c>
      <c r="E129" s="49" t="s">
        <v>259</v>
      </c>
      <c r="F129" s="49" t="s">
        <v>206</v>
      </c>
      <c r="G129" s="91" t="s">
        <v>206</v>
      </c>
      <c r="H129" s="32">
        <v>46</v>
      </c>
      <c r="I129" s="31">
        <v>45.5</v>
      </c>
      <c r="J129" s="99">
        <v>110</v>
      </c>
      <c r="K129" s="96">
        <v>124.5</v>
      </c>
      <c r="L129" s="19"/>
    </row>
    <row r="130" spans="1:12" s="1" customFormat="1" ht="15" customHeight="1" thickBot="1" x14ac:dyDescent="0.4">
      <c r="A130" s="46">
        <f t="shared" si="1"/>
        <v>128</v>
      </c>
      <c r="B130" s="56">
        <v>12607860</v>
      </c>
      <c r="C130" s="48">
        <v>41034707</v>
      </c>
      <c r="D130" s="49" t="s">
        <v>260</v>
      </c>
      <c r="E130" s="49" t="s">
        <v>261</v>
      </c>
      <c r="F130" s="49" t="s">
        <v>226</v>
      </c>
      <c r="G130" s="91" t="s">
        <v>206</v>
      </c>
      <c r="H130" s="32">
        <v>0</v>
      </c>
      <c r="I130" s="31">
        <v>0</v>
      </c>
      <c r="J130" s="99">
        <v>0</v>
      </c>
      <c r="K130" s="96">
        <v>0</v>
      </c>
      <c r="L130" s="19"/>
    </row>
    <row r="131" spans="1:12" s="1" customFormat="1" ht="15" customHeight="1" thickBot="1" x14ac:dyDescent="0.4">
      <c r="A131" s="46">
        <f t="shared" si="1"/>
        <v>129</v>
      </c>
      <c r="B131" s="56"/>
      <c r="C131" s="48">
        <v>41070245</v>
      </c>
      <c r="D131" s="49" t="s">
        <v>262</v>
      </c>
      <c r="E131" s="57" t="s">
        <v>263</v>
      </c>
      <c r="F131" s="49" t="s">
        <v>206</v>
      </c>
      <c r="G131" s="92" t="s">
        <v>206</v>
      </c>
      <c r="H131" s="32">
        <v>16</v>
      </c>
      <c r="I131" s="31">
        <v>27</v>
      </c>
      <c r="J131" s="99">
        <v>20</v>
      </c>
      <c r="K131" s="96">
        <v>63</v>
      </c>
      <c r="L131" s="19"/>
    </row>
    <row r="132" spans="1:12" s="1" customFormat="1" ht="15" customHeight="1" thickBot="1" x14ac:dyDescent="0.4">
      <c r="A132" s="46">
        <f t="shared" ref="A132:A195" si="2">+A131+1</f>
        <v>130</v>
      </c>
      <c r="B132" s="56"/>
      <c r="C132" s="48">
        <v>41071845</v>
      </c>
      <c r="D132" s="49" t="s">
        <v>264</v>
      </c>
      <c r="E132" s="57" t="s">
        <v>265</v>
      </c>
      <c r="F132" s="49" t="s">
        <v>231</v>
      </c>
      <c r="G132" s="92" t="s">
        <v>206</v>
      </c>
      <c r="H132" s="32">
        <v>57</v>
      </c>
      <c r="I132" s="31">
        <v>62</v>
      </c>
      <c r="J132" s="99">
        <v>81</v>
      </c>
      <c r="K132" s="96">
        <v>76</v>
      </c>
      <c r="L132" s="19"/>
    </row>
    <row r="133" spans="1:12" s="1" customFormat="1" ht="15" customHeight="1" thickBot="1" x14ac:dyDescent="0.4">
      <c r="A133" s="46">
        <f t="shared" si="2"/>
        <v>131</v>
      </c>
      <c r="B133" s="56"/>
      <c r="C133" s="48">
        <v>41072807</v>
      </c>
      <c r="D133" s="49" t="s">
        <v>266</v>
      </c>
      <c r="E133" s="57" t="s">
        <v>267</v>
      </c>
      <c r="F133" s="49" t="s">
        <v>206</v>
      </c>
      <c r="G133" s="92" t="s">
        <v>206</v>
      </c>
      <c r="H133" s="32">
        <v>4</v>
      </c>
      <c r="I133" s="31">
        <v>13</v>
      </c>
      <c r="J133" s="99">
        <v>58</v>
      </c>
      <c r="K133" s="96">
        <v>121</v>
      </c>
      <c r="L133" s="19"/>
    </row>
    <row r="134" spans="1:12" s="1" customFormat="1" ht="15" customHeight="1" thickBot="1" x14ac:dyDescent="0.4">
      <c r="A134" s="46">
        <f t="shared" si="2"/>
        <v>132</v>
      </c>
      <c r="B134" s="88"/>
      <c r="C134" s="48">
        <v>41094092</v>
      </c>
      <c r="D134" s="49" t="s">
        <v>855</v>
      </c>
      <c r="E134" s="57" t="s">
        <v>856</v>
      </c>
      <c r="F134" s="49" t="s">
        <v>206</v>
      </c>
      <c r="G134" s="92" t="s">
        <v>206</v>
      </c>
      <c r="H134" s="32">
        <v>0</v>
      </c>
      <c r="I134" s="31">
        <v>4</v>
      </c>
      <c r="J134" s="99">
        <v>0</v>
      </c>
      <c r="K134" s="96">
        <v>8</v>
      </c>
      <c r="L134" s="19"/>
    </row>
    <row r="135" spans="1:12" s="1" customFormat="1" ht="15" customHeight="1" thickBot="1" x14ac:dyDescent="0.4">
      <c r="A135" s="46">
        <f t="shared" si="2"/>
        <v>133</v>
      </c>
      <c r="B135" s="47">
        <v>12555480</v>
      </c>
      <c r="C135" s="48">
        <v>41049071</v>
      </c>
      <c r="D135" s="49" t="s">
        <v>268</v>
      </c>
      <c r="E135" s="49" t="s">
        <v>269</v>
      </c>
      <c r="F135" s="49" t="s">
        <v>208</v>
      </c>
      <c r="G135" s="91" t="s">
        <v>206</v>
      </c>
      <c r="H135" s="32">
        <v>18</v>
      </c>
      <c r="I135" s="31">
        <v>0</v>
      </c>
      <c r="J135" s="99">
        <v>26</v>
      </c>
      <c r="K135" s="96">
        <v>0</v>
      </c>
      <c r="L135" s="19"/>
    </row>
    <row r="136" spans="1:12" s="1" customFormat="1" ht="15" customHeight="1" thickBot="1" x14ac:dyDescent="0.4">
      <c r="A136" s="46">
        <f t="shared" si="2"/>
        <v>134</v>
      </c>
      <c r="B136" s="47">
        <v>11107020</v>
      </c>
      <c r="C136" s="48">
        <v>41052479</v>
      </c>
      <c r="D136" s="49" t="s">
        <v>270</v>
      </c>
      <c r="E136" s="49" t="s">
        <v>271</v>
      </c>
      <c r="F136" s="49" t="s">
        <v>271</v>
      </c>
      <c r="G136" s="91" t="s">
        <v>272</v>
      </c>
      <c r="H136" s="32">
        <v>105</v>
      </c>
      <c r="I136" s="31">
        <v>110</v>
      </c>
      <c r="J136" s="99">
        <v>295</v>
      </c>
      <c r="K136" s="96">
        <v>290</v>
      </c>
      <c r="L136" s="19"/>
    </row>
    <row r="137" spans="1:12" s="1" customFormat="1" ht="15" customHeight="1" thickBot="1" x14ac:dyDescent="0.4">
      <c r="A137" s="46">
        <f t="shared" si="2"/>
        <v>135</v>
      </c>
      <c r="B137" s="47">
        <v>11016010</v>
      </c>
      <c r="C137" s="48">
        <v>41053249</v>
      </c>
      <c r="D137" s="49" t="s">
        <v>273</v>
      </c>
      <c r="E137" s="49" t="s">
        <v>274</v>
      </c>
      <c r="F137" s="49" t="s">
        <v>272</v>
      </c>
      <c r="G137" s="91" t="s">
        <v>272</v>
      </c>
      <c r="H137" s="32">
        <v>120</v>
      </c>
      <c r="I137" s="31">
        <v>75</v>
      </c>
      <c r="J137" s="99">
        <v>220</v>
      </c>
      <c r="K137" s="96">
        <v>225</v>
      </c>
      <c r="L137" s="19"/>
    </row>
    <row r="138" spans="1:12" s="1" customFormat="1" ht="15" customHeight="1" thickBot="1" x14ac:dyDescent="0.4">
      <c r="A138" s="46">
        <f t="shared" si="2"/>
        <v>136</v>
      </c>
      <c r="B138" s="65">
        <v>11015010</v>
      </c>
      <c r="C138" s="48"/>
      <c r="D138" s="49" t="s">
        <v>275</v>
      </c>
      <c r="E138" s="49" t="s">
        <v>272</v>
      </c>
      <c r="F138" s="49" t="s">
        <v>272</v>
      </c>
      <c r="G138" s="91" t="s">
        <v>272</v>
      </c>
      <c r="H138" s="32"/>
      <c r="I138" s="31"/>
      <c r="J138" s="99"/>
      <c r="K138" s="96"/>
      <c r="L138" s="19"/>
    </row>
    <row r="139" spans="1:12" s="1" customFormat="1" ht="15" customHeight="1" thickBot="1" x14ac:dyDescent="0.4">
      <c r="A139" s="63">
        <f t="shared" si="2"/>
        <v>137</v>
      </c>
      <c r="B139" s="47">
        <v>11635600</v>
      </c>
      <c r="C139" s="48">
        <v>41048396</v>
      </c>
      <c r="D139" s="49" t="s">
        <v>276</v>
      </c>
      <c r="E139" s="49" t="s">
        <v>277</v>
      </c>
      <c r="F139" s="49" t="s">
        <v>277</v>
      </c>
      <c r="G139" s="91" t="s">
        <v>272</v>
      </c>
      <c r="H139" s="32">
        <v>60</v>
      </c>
      <c r="I139" s="31">
        <v>39.5</v>
      </c>
      <c r="J139" s="99">
        <v>106</v>
      </c>
      <c r="K139" s="96">
        <v>80.5</v>
      </c>
      <c r="L139" s="19"/>
    </row>
    <row r="140" spans="1:12" s="1" customFormat="1" ht="15" customHeight="1" thickBot="1" x14ac:dyDescent="0.4">
      <c r="A140" s="46">
        <f t="shared" si="2"/>
        <v>138</v>
      </c>
      <c r="B140" s="53">
        <v>12594150</v>
      </c>
      <c r="C140" s="48">
        <v>41039034</v>
      </c>
      <c r="D140" s="49" t="s">
        <v>278</v>
      </c>
      <c r="E140" s="49" t="s">
        <v>279</v>
      </c>
      <c r="F140" s="49" t="s">
        <v>277</v>
      </c>
      <c r="G140" s="91" t="s">
        <v>272</v>
      </c>
      <c r="H140" s="32">
        <v>33</v>
      </c>
      <c r="I140" s="31">
        <v>33</v>
      </c>
      <c r="J140" s="99">
        <v>65</v>
      </c>
      <c r="K140" s="96">
        <v>51</v>
      </c>
      <c r="L140" s="19"/>
    </row>
    <row r="141" spans="1:12" s="1" customFormat="1" ht="15" customHeight="1" thickBot="1" x14ac:dyDescent="0.4">
      <c r="A141" s="46">
        <f t="shared" si="2"/>
        <v>139</v>
      </c>
      <c r="B141" s="47">
        <v>11688100</v>
      </c>
      <c r="C141" s="48">
        <v>41046087</v>
      </c>
      <c r="D141" s="49" t="s">
        <v>280</v>
      </c>
      <c r="E141" s="49" t="s">
        <v>281</v>
      </c>
      <c r="F141" s="49" t="s">
        <v>282</v>
      </c>
      <c r="G141" s="91" t="s">
        <v>272</v>
      </c>
      <c r="H141" s="32">
        <v>30</v>
      </c>
      <c r="I141" s="31">
        <v>34</v>
      </c>
      <c r="J141" s="99">
        <v>82</v>
      </c>
      <c r="K141" s="96">
        <v>92</v>
      </c>
      <c r="L141" s="19"/>
    </row>
    <row r="142" spans="1:12" s="1" customFormat="1" ht="15" customHeight="1" thickBot="1" x14ac:dyDescent="0.4">
      <c r="A142" s="46">
        <f t="shared" si="2"/>
        <v>140</v>
      </c>
      <c r="B142" s="47">
        <v>12594160</v>
      </c>
      <c r="C142" s="48">
        <v>41039036</v>
      </c>
      <c r="D142" s="49" t="s">
        <v>283</v>
      </c>
      <c r="E142" s="49" t="s">
        <v>284</v>
      </c>
      <c r="F142" s="49" t="s">
        <v>282</v>
      </c>
      <c r="G142" s="91" t="s">
        <v>272</v>
      </c>
      <c r="H142" s="32">
        <v>39</v>
      </c>
      <c r="I142" s="31">
        <v>33</v>
      </c>
      <c r="J142" s="99">
        <v>87</v>
      </c>
      <c r="K142" s="96">
        <v>79</v>
      </c>
      <c r="L142" s="19"/>
    </row>
    <row r="143" spans="1:12" s="1" customFormat="1" ht="15" customHeight="1" thickBot="1" x14ac:dyDescent="0.4">
      <c r="A143" s="46">
        <f t="shared" si="2"/>
        <v>141</v>
      </c>
      <c r="B143" s="47">
        <v>12116700</v>
      </c>
      <c r="C143" s="48">
        <v>41056445</v>
      </c>
      <c r="D143" s="49" t="s">
        <v>285</v>
      </c>
      <c r="E143" s="49" t="s">
        <v>286</v>
      </c>
      <c r="F143" s="49" t="s">
        <v>286</v>
      </c>
      <c r="G143" s="91" t="s">
        <v>272</v>
      </c>
      <c r="H143" s="32">
        <v>51</v>
      </c>
      <c r="I143" s="31">
        <v>45</v>
      </c>
      <c r="J143" s="99">
        <v>105</v>
      </c>
      <c r="K143" s="96">
        <v>111</v>
      </c>
      <c r="L143" s="19"/>
    </row>
    <row r="144" spans="1:12" s="1" customFormat="1" ht="15" customHeight="1" thickBot="1" x14ac:dyDescent="0.4">
      <c r="A144" s="46">
        <f t="shared" si="2"/>
        <v>142</v>
      </c>
      <c r="B144" s="47">
        <v>12370790</v>
      </c>
      <c r="C144" s="48">
        <v>41054419</v>
      </c>
      <c r="D144" s="49" t="s">
        <v>287</v>
      </c>
      <c r="E144" s="49" t="s">
        <v>288</v>
      </c>
      <c r="F144" s="49" t="s">
        <v>288</v>
      </c>
      <c r="G144" s="91" t="s">
        <v>272</v>
      </c>
      <c r="H144" s="32">
        <v>194</v>
      </c>
      <c r="I144" s="31">
        <v>139</v>
      </c>
      <c r="J144" s="99">
        <v>376</v>
      </c>
      <c r="K144" s="96">
        <v>283</v>
      </c>
      <c r="L144" s="19"/>
    </row>
    <row r="145" spans="1:12" s="1" customFormat="1" ht="15" customHeight="1" thickBot="1" x14ac:dyDescent="0.4">
      <c r="A145" s="46">
        <f t="shared" si="2"/>
        <v>143</v>
      </c>
      <c r="B145" s="47">
        <v>12592710</v>
      </c>
      <c r="C145" s="48">
        <v>41040635</v>
      </c>
      <c r="D145" s="49" t="s">
        <v>289</v>
      </c>
      <c r="E145" s="49" t="s">
        <v>290</v>
      </c>
      <c r="F145" s="49" t="s">
        <v>288</v>
      </c>
      <c r="G145" s="91" t="s">
        <v>272</v>
      </c>
      <c r="H145" s="32">
        <v>42</v>
      </c>
      <c r="I145" s="31">
        <v>39</v>
      </c>
      <c r="J145" s="99">
        <v>126</v>
      </c>
      <c r="K145" s="96">
        <v>141</v>
      </c>
      <c r="L145" s="19"/>
    </row>
    <row r="146" spans="1:12" s="1" customFormat="1" ht="15" customHeight="1" thickBot="1" x14ac:dyDescent="0.4">
      <c r="A146" s="46">
        <f t="shared" si="2"/>
        <v>144</v>
      </c>
      <c r="B146" s="47">
        <v>12596660</v>
      </c>
      <c r="C146" s="48">
        <v>41037858</v>
      </c>
      <c r="D146" s="49" t="s">
        <v>291</v>
      </c>
      <c r="E146" s="49" t="s">
        <v>292</v>
      </c>
      <c r="F146" s="49" t="s">
        <v>288</v>
      </c>
      <c r="G146" s="91" t="s">
        <v>272</v>
      </c>
      <c r="H146" s="32">
        <v>52</v>
      </c>
      <c r="I146" s="31">
        <v>40</v>
      </c>
      <c r="J146" s="99">
        <v>94</v>
      </c>
      <c r="K146" s="96">
        <v>90</v>
      </c>
      <c r="L146" s="19"/>
    </row>
    <row r="147" spans="1:12" s="1" customFormat="1" ht="15" customHeight="1" thickBot="1" x14ac:dyDescent="0.4">
      <c r="A147" s="46">
        <f t="shared" si="2"/>
        <v>145</v>
      </c>
      <c r="B147" s="47">
        <v>12596650</v>
      </c>
      <c r="C147" s="48">
        <v>41037857</v>
      </c>
      <c r="D147" s="49" t="s">
        <v>293</v>
      </c>
      <c r="E147" s="49" t="s">
        <v>294</v>
      </c>
      <c r="F147" s="49" t="s">
        <v>288</v>
      </c>
      <c r="G147" s="91" t="s">
        <v>272</v>
      </c>
      <c r="H147" s="32">
        <v>109</v>
      </c>
      <c r="I147" s="31">
        <v>75.5</v>
      </c>
      <c r="J147" s="99">
        <v>207</v>
      </c>
      <c r="K147" s="96">
        <v>198.5</v>
      </c>
      <c r="L147" s="19"/>
    </row>
    <row r="148" spans="1:12" s="1" customFormat="1" ht="15" customHeight="1" thickBot="1" x14ac:dyDescent="0.4">
      <c r="A148" s="46">
        <f t="shared" si="2"/>
        <v>146</v>
      </c>
      <c r="B148" s="47">
        <v>12514630</v>
      </c>
      <c r="C148" s="48">
        <v>41053665</v>
      </c>
      <c r="D148" s="49" t="s">
        <v>240</v>
      </c>
      <c r="E148" s="49" t="s">
        <v>272</v>
      </c>
      <c r="F148" s="49" t="s">
        <v>272</v>
      </c>
      <c r="G148" s="91" t="s">
        <v>272</v>
      </c>
      <c r="H148" s="32">
        <v>68</v>
      </c>
      <c r="I148" s="31">
        <v>66</v>
      </c>
      <c r="J148" s="99">
        <v>217</v>
      </c>
      <c r="K148" s="96">
        <v>181</v>
      </c>
      <c r="L148" s="19"/>
    </row>
    <row r="149" spans="1:12" s="1" customFormat="1" ht="15" customHeight="1" thickBot="1" x14ac:dyDescent="0.4">
      <c r="A149" s="46">
        <f t="shared" si="2"/>
        <v>147</v>
      </c>
      <c r="B149" s="47">
        <v>12523850</v>
      </c>
      <c r="C149" s="48">
        <v>41052229</v>
      </c>
      <c r="D149" s="49" t="s">
        <v>295</v>
      </c>
      <c r="E149" s="49" t="s">
        <v>296</v>
      </c>
      <c r="F149" s="49" t="s">
        <v>272</v>
      </c>
      <c r="G149" s="91" t="s">
        <v>272</v>
      </c>
      <c r="H149" s="32">
        <v>105</v>
      </c>
      <c r="I149" s="31">
        <v>86</v>
      </c>
      <c r="J149" s="99">
        <v>28</v>
      </c>
      <c r="K149" s="96">
        <v>28</v>
      </c>
      <c r="L149" s="19"/>
    </row>
    <row r="150" spans="1:12" s="1" customFormat="1" ht="15" customHeight="1" thickBot="1" x14ac:dyDescent="0.4">
      <c r="A150" s="46">
        <f t="shared" si="2"/>
        <v>148</v>
      </c>
      <c r="B150" s="47">
        <v>12523860</v>
      </c>
      <c r="C150" s="48">
        <v>41052230</v>
      </c>
      <c r="D150" s="49" t="s">
        <v>297</v>
      </c>
      <c r="E150" s="49" t="s">
        <v>286</v>
      </c>
      <c r="F150" s="49" t="s">
        <v>286</v>
      </c>
      <c r="G150" s="91" t="s">
        <v>272</v>
      </c>
      <c r="H150" s="32">
        <v>30</v>
      </c>
      <c r="I150" s="31">
        <v>32</v>
      </c>
      <c r="J150" s="99">
        <v>68</v>
      </c>
      <c r="K150" s="96">
        <v>80</v>
      </c>
      <c r="L150" s="19"/>
    </row>
    <row r="151" spans="1:12" s="1" customFormat="1" ht="15" customHeight="1" thickBot="1" x14ac:dyDescent="0.4">
      <c r="A151" s="46">
        <f t="shared" si="2"/>
        <v>149</v>
      </c>
      <c r="B151" s="47">
        <v>12530680</v>
      </c>
      <c r="C151" s="48">
        <v>41051593</v>
      </c>
      <c r="D151" s="49" t="s">
        <v>298</v>
      </c>
      <c r="E151" s="49" t="s">
        <v>299</v>
      </c>
      <c r="F151" s="49" t="s">
        <v>271</v>
      </c>
      <c r="G151" s="91" t="s">
        <v>272</v>
      </c>
      <c r="H151" s="32">
        <v>20</v>
      </c>
      <c r="I151" s="31">
        <v>37</v>
      </c>
      <c r="J151" s="99">
        <v>36</v>
      </c>
      <c r="K151" s="96">
        <v>89</v>
      </c>
      <c r="L151" s="19"/>
    </row>
    <row r="152" spans="1:12" s="1" customFormat="1" ht="15" customHeight="1" thickBot="1" x14ac:dyDescent="0.4">
      <c r="A152" s="46">
        <f t="shared" si="2"/>
        <v>150</v>
      </c>
      <c r="B152" s="47">
        <v>12558810</v>
      </c>
      <c r="C152" s="48">
        <v>41048001</v>
      </c>
      <c r="D152" s="49" t="s">
        <v>300</v>
      </c>
      <c r="E152" s="49" t="s">
        <v>301</v>
      </c>
      <c r="F152" s="49" t="s">
        <v>286</v>
      </c>
      <c r="G152" s="91" t="s">
        <v>272</v>
      </c>
      <c r="H152" s="32">
        <v>57</v>
      </c>
      <c r="I152" s="31">
        <v>62</v>
      </c>
      <c r="J152" s="99">
        <v>125</v>
      </c>
      <c r="K152" s="96">
        <v>148</v>
      </c>
      <c r="L152" s="19"/>
    </row>
    <row r="153" spans="1:12" s="1" customFormat="1" ht="15" customHeight="1" thickBot="1" x14ac:dyDescent="0.4">
      <c r="A153" s="46">
        <f t="shared" si="2"/>
        <v>151</v>
      </c>
      <c r="B153" s="47">
        <v>12570360</v>
      </c>
      <c r="C153" s="48">
        <v>41044681</v>
      </c>
      <c r="D153" s="49" t="s">
        <v>302</v>
      </c>
      <c r="E153" s="49" t="s">
        <v>272</v>
      </c>
      <c r="F153" s="49" t="s">
        <v>272</v>
      </c>
      <c r="G153" s="91" t="s">
        <v>272</v>
      </c>
      <c r="H153" s="32">
        <v>168</v>
      </c>
      <c r="I153" s="31">
        <v>170.5</v>
      </c>
      <c r="J153" s="99">
        <v>148</v>
      </c>
      <c r="K153" s="96">
        <v>141.5</v>
      </c>
      <c r="L153" s="19"/>
    </row>
    <row r="154" spans="1:12" s="1" customFormat="1" ht="15" customHeight="1" thickBot="1" x14ac:dyDescent="0.4">
      <c r="A154" s="46">
        <f t="shared" si="2"/>
        <v>152</v>
      </c>
      <c r="B154" s="47">
        <v>12595980</v>
      </c>
      <c r="C154" s="48">
        <v>41037554</v>
      </c>
      <c r="D154" s="49" t="s">
        <v>303</v>
      </c>
      <c r="E154" s="49" t="s">
        <v>304</v>
      </c>
      <c r="F154" s="49" t="s">
        <v>286</v>
      </c>
      <c r="G154" s="91" t="s">
        <v>272</v>
      </c>
      <c r="H154" s="32">
        <v>63</v>
      </c>
      <c r="I154" s="31">
        <v>66</v>
      </c>
      <c r="J154" s="99">
        <v>91</v>
      </c>
      <c r="K154" s="96">
        <v>140</v>
      </c>
      <c r="L154" s="19"/>
    </row>
    <row r="155" spans="1:12" s="1" customFormat="1" ht="15" customHeight="1" thickBot="1" x14ac:dyDescent="0.4">
      <c r="A155" s="46">
        <f t="shared" si="2"/>
        <v>153</v>
      </c>
      <c r="B155" s="47"/>
      <c r="C155" s="48">
        <v>41076673</v>
      </c>
      <c r="D155" s="49" t="s">
        <v>305</v>
      </c>
      <c r="E155" s="49" t="s">
        <v>306</v>
      </c>
      <c r="F155" s="49" t="s">
        <v>272</v>
      </c>
      <c r="G155" s="91" t="s">
        <v>272</v>
      </c>
      <c r="H155" s="32">
        <v>19.5</v>
      </c>
      <c r="I155" s="31">
        <v>43</v>
      </c>
      <c r="J155" s="99">
        <v>98.5</v>
      </c>
      <c r="K155" s="96">
        <v>129</v>
      </c>
      <c r="L155" s="19"/>
    </row>
    <row r="156" spans="1:12" s="1" customFormat="1" ht="15" customHeight="1" thickBot="1" x14ac:dyDescent="0.4">
      <c r="A156" s="46">
        <f t="shared" si="2"/>
        <v>154</v>
      </c>
      <c r="B156" s="47"/>
      <c r="C156" s="48">
        <v>41072629</v>
      </c>
      <c r="D156" s="49" t="s">
        <v>307</v>
      </c>
      <c r="E156" s="49" t="s">
        <v>308</v>
      </c>
      <c r="F156" s="49" t="s">
        <v>272</v>
      </c>
      <c r="G156" s="91" t="s">
        <v>272</v>
      </c>
      <c r="H156" s="32">
        <v>33.5</v>
      </c>
      <c r="I156" s="31">
        <v>47.5</v>
      </c>
      <c r="J156" s="99">
        <v>100.5</v>
      </c>
      <c r="K156" s="96">
        <v>136.5</v>
      </c>
      <c r="L156" s="19"/>
    </row>
    <row r="157" spans="1:12" s="1" customFormat="1" ht="15" customHeight="1" thickBot="1" x14ac:dyDescent="0.4">
      <c r="A157" s="46">
        <f t="shared" si="2"/>
        <v>155</v>
      </c>
      <c r="B157" s="47"/>
      <c r="C157" s="48">
        <v>41072797</v>
      </c>
      <c r="D157" s="49" t="s">
        <v>309</v>
      </c>
      <c r="E157" s="49" t="s">
        <v>310</v>
      </c>
      <c r="F157" s="49" t="s">
        <v>271</v>
      </c>
      <c r="G157" s="91" t="s">
        <v>272</v>
      </c>
      <c r="H157" s="32">
        <v>0</v>
      </c>
      <c r="I157" s="31">
        <v>15</v>
      </c>
      <c r="J157" s="99">
        <v>0</v>
      </c>
      <c r="K157" s="96">
        <v>111</v>
      </c>
      <c r="L157" s="19"/>
    </row>
    <row r="158" spans="1:12" s="1" customFormat="1" ht="15" customHeight="1" thickBot="1" x14ac:dyDescent="0.4">
      <c r="A158" s="46">
        <f t="shared" si="2"/>
        <v>156</v>
      </c>
      <c r="B158" s="47"/>
      <c r="C158" s="48">
        <v>41086664</v>
      </c>
      <c r="D158" s="49" t="s">
        <v>311</v>
      </c>
      <c r="E158" s="49" t="s">
        <v>312</v>
      </c>
      <c r="F158" s="49" t="s">
        <v>282</v>
      </c>
      <c r="G158" s="91" t="s">
        <v>272</v>
      </c>
      <c r="H158" s="32">
        <v>0</v>
      </c>
      <c r="I158" s="31">
        <v>32.5</v>
      </c>
      <c r="J158" s="99">
        <v>0</v>
      </c>
      <c r="K158" s="96">
        <v>83.5</v>
      </c>
      <c r="L158" s="19"/>
    </row>
    <row r="159" spans="1:12" s="1" customFormat="1" ht="15" customHeight="1" thickBot="1" x14ac:dyDescent="0.4">
      <c r="A159" s="46">
        <f t="shared" si="2"/>
        <v>157</v>
      </c>
      <c r="B159" s="47"/>
      <c r="C159" s="48">
        <v>41086643</v>
      </c>
      <c r="D159" s="49" t="s">
        <v>313</v>
      </c>
      <c r="E159" s="49" t="s">
        <v>314</v>
      </c>
      <c r="F159" s="49" t="s">
        <v>272</v>
      </c>
      <c r="G159" s="91" t="s">
        <v>272</v>
      </c>
      <c r="H159" s="32">
        <v>0</v>
      </c>
      <c r="I159" s="31">
        <v>43</v>
      </c>
      <c r="J159" s="99">
        <v>0</v>
      </c>
      <c r="K159" s="96">
        <v>133</v>
      </c>
      <c r="L159" s="19"/>
    </row>
    <row r="160" spans="1:12" s="1" customFormat="1" ht="15" customHeight="1" thickBot="1" x14ac:dyDescent="0.4">
      <c r="A160" s="46">
        <f t="shared" si="2"/>
        <v>158</v>
      </c>
      <c r="B160" s="47">
        <v>12555470</v>
      </c>
      <c r="C160" s="48">
        <v>41049070</v>
      </c>
      <c r="D160" s="49" t="s">
        <v>315</v>
      </c>
      <c r="E160" s="49" t="s">
        <v>286</v>
      </c>
      <c r="F160" s="49" t="s">
        <v>286</v>
      </c>
      <c r="G160" s="91" t="s">
        <v>272</v>
      </c>
      <c r="H160" s="32">
        <v>38</v>
      </c>
      <c r="I160" s="31">
        <v>45.5</v>
      </c>
      <c r="J160" s="99">
        <v>100</v>
      </c>
      <c r="K160" s="96">
        <v>112.5</v>
      </c>
      <c r="L160" s="19"/>
    </row>
    <row r="161" spans="1:12" s="1" customFormat="1" ht="15" customHeight="1" thickBot="1" x14ac:dyDescent="0.4">
      <c r="A161" s="46">
        <f t="shared" si="2"/>
        <v>159</v>
      </c>
      <c r="B161" s="47">
        <v>12521550</v>
      </c>
      <c r="C161" s="48">
        <v>41052796</v>
      </c>
      <c r="D161" s="49" t="s">
        <v>103</v>
      </c>
      <c r="E161" s="49" t="s">
        <v>316</v>
      </c>
      <c r="F161" s="49" t="s">
        <v>316</v>
      </c>
      <c r="G161" s="91" t="s">
        <v>317</v>
      </c>
      <c r="H161" s="32">
        <v>52</v>
      </c>
      <c r="I161" s="31">
        <v>30</v>
      </c>
      <c r="J161" s="99">
        <v>92</v>
      </c>
      <c r="K161" s="96">
        <v>70</v>
      </c>
      <c r="L161" s="19"/>
    </row>
    <row r="162" spans="1:12" s="1" customFormat="1" ht="15" customHeight="1" thickBot="1" x14ac:dyDescent="0.4">
      <c r="A162" s="46">
        <f t="shared" si="2"/>
        <v>160</v>
      </c>
      <c r="B162" s="47">
        <v>11573300</v>
      </c>
      <c r="C162" s="48">
        <v>41048554</v>
      </c>
      <c r="D162" s="49" t="s">
        <v>318</v>
      </c>
      <c r="E162" s="49" t="s">
        <v>319</v>
      </c>
      <c r="F162" s="49" t="s">
        <v>317</v>
      </c>
      <c r="G162" s="91" t="s">
        <v>317</v>
      </c>
      <c r="H162" s="32">
        <v>73</v>
      </c>
      <c r="I162" s="31">
        <v>43</v>
      </c>
      <c r="J162" s="99">
        <v>193</v>
      </c>
      <c r="K162" s="96">
        <v>135</v>
      </c>
      <c r="L162" s="19"/>
    </row>
    <row r="163" spans="1:12" s="1" customFormat="1" ht="15" customHeight="1" thickBot="1" x14ac:dyDescent="0.4">
      <c r="A163" s="46">
        <f t="shared" si="2"/>
        <v>161</v>
      </c>
      <c r="B163" s="47">
        <v>12207900</v>
      </c>
      <c r="C163" s="48">
        <v>41055570</v>
      </c>
      <c r="D163" s="49" t="s">
        <v>320</v>
      </c>
      <c r="E163" s="49" t="s">
        <v>321</v>
      </c>
      <c r="F163" s="49" t="s">
        <v>317</v>
      </c>
      <c r="G163" s="91" t="s">
        <v>317</v>
      </c>
      <c r="H163" s="32">
        <v>181</v>
      </c>
      <c r="I163" s="31">
        <v>176</v>
      </c>
      <c r="J163" s="99">
        <v>207</v>
      </c>
      <c r="K163" s="96">
        <v>228</v>
      </c>
      <c r="L163" s="19"/>
    </row>
    <row r="164" spans="1:12" s="1" customFormat="1" ht="15" customHeight="1" thickBot="1" x14ac:dyDescent="0.4">
      <c r="A164" s="46">
        <f t="shared" si="2"/>
        <v>162</v>
      </c>
      <c r="B164" s="47">
        <v>11639500</v>
      </c>
      <c r="C164" s="48">
        <v>41048436</v>
      </c>
      <c r="D164" s="49" t="s">
        <v>322</v>
      </c>
      <c r="E164" s="49" t="s">
        <v>323</v>
      </c>
      <c r="F164" s="49" t="s">
        <v>317</v>
      </c>
      <c r="G164" s="91" t="s">
        <v>317</v>
      </c>
      <c r="H164" s="32">
        <v>175</v>
      </c>
      <c r="I164" s="31">
        <v>200</v>
      </c>
      <c r="J164" s="99">
        <v>125</v>
      </c>
      <c r="K164" s="96">
        <v>120</v>
      </c>
      <c r="L164" s="19"/>
    </row>
    <row r="165" spans="1:12" s="1" customFormat="1" ht="15" customHeight="1" thickBot="1" x14ac:dyDescent="0.4">
      <c r="A165" s="46">
        <f t="shared" si="2"/>
        <v>163</v>
      </c>
      <c r="B165" s="47">
        <v>11052120</v>
      </c>
      <c r="C165" s="48">
        <v>41052964</v>
      </c>
      <c r="D165" s="49" t="s">
        <v>324</v>
      </c>
      <c r="E165" s="49" t="s">
        <v>325</v>
      </c>
      <c r="F165" s="49" t="s">
        <v>317</v>
      </c>
      <c r="G165" s="91" t="s">
        <v>317</v>
      </c>
      <c r="H165" s="32">
        <v>135</v>
      </c>
      <c r="I165" s="31">
        <v>150</v>
      </c>
      <c r="J165" s="99">
        <v>245</v>
      </c>
      <c r="K165" s="96">
        <v>250</v>
      </c>
      <c r="L165" s="19"/>
    </row>
    <row r="166" spans="1:12" s="1" customFormat="1" ht="15" customHeight="1" thickBot="1" x14ac:dyDescent="0.4">
      <c r="A166" s="46">
        <f t="shared" si="2"/>
        <v>164</v>
      </c>
      <c r="B166" s="47">
        <v>11009010</v>
      </c>
      <c r="C166" s="48">
        <v>41053155</v>
      </c>
      <c r="D166" s="49" t="s">
        <v>326</v>
      </c>
      <c r="E166" s="49" t="s">
        <v>327</v>
      </c>
      <c r="F166" s="49" t="s">
        <v>317</v>
      </c>
      <c r="G166" s="91" t="s">
        <v>317</v>
      </c>
      <c r="H166" s="32">
        <v>340</v>
      </c>
      <c r="I166" s="31">
        <v>323</v>
      </c>
      <c r="J166" s="99">
        <v>160</v>
      </c>
      <c r="K166" s="96">
        <v>165</v>
      </c>
      <c r="L166" s="19"/>
    </row>
    <row r="167" spans="1:12" s="1" customFormat="1" ht="15" customHeight="1" thickBot="1" x14ac:dyDescent="0.4">
      <c r="A167" s="46">
        <f t="shared" si="2"/>
        <v>165</v>
      </c>
      <c r="B167" s="47">
        <v>11042110</v>
      </c>
      <c r="C167" s="48">
        <v>41052940</v>
      </c>
      <c r="D167" s="49" t="s">
        <v>328</v>
      </c>
      <c r="E167" s="49" t="s">
        <v>329</v>
      </c>
      <c r="F167" s="49" t="s">
        <v>317</v>
      </c>
      <c r="G167" s="91" t="s">
        <v>317</v>
      </c>
      <c r="H167" s="32">
        <v>131</v>
      </c>
      <c r="I167" s="31">
        <v>130</v>
      </c>
      <c r="J167" s="99">
        <v>113</v>
      </c>
      <c r="K167" s="96">
        <v>110</v>
      </c>
      <c r="L167" s="19"/>
    </row>
    <row r="168" spans="1:12" s="1" customFormat="1" ht="15" customHeight="1" thickBot="1" x14ac:dyDescent="0.4">
      <c r="A168" s="46">
        <f t="shared" si="2"/>
        <v>166</v>
      </c>
      <c r="B168" s="56"/>
      <c r="C168" s="48">
        <v>41076675</v>
      </c>
      <c r="D168" s="49" t="s">
        <v>330</v>
      </c>
      <c r="E168" s="66" t="s">
        <v>331</v>
      </c>
      <c r="F168" s="49" t="s">
        <v>317</v>
      </c>
      <c r="G168" s="91" t="s">
        <v>317</v>
      </c>
      <c r="H168" s="32">
        <v>540</v>
      </c>
      <c r="I168" s="31">
        <v>534</v>
      </c>
      <c r="J168" s="99">
        <v>272</v>
      </c>
      <c r="K168" s="96">
        <v>267</v>
      </c>
      <c r="L168" s="19"/>
    </row>
    <row r="169" spans="1:12" s="1" customFormat="1" ht="15" customHeight="1" thickBot="1" x14ac:dyDescent="0.4">
      <c r="A169" s="46">
        <f t="shared" si="2"/>
        <v>167</v>
      </c>
      <c r="B169" s="47">
        <v>11229020</v>
      </c>
      <c r="C169" s="48">
        <v>41051566</v>
      </c>
      <c r="D169" s="49" t="s">
        <v>332</v>
      </c>
      <c r="E169" s="49" t="s">
        <v>333</v>
      </c>
      <c r="F169" s="49" t="s">
        <v>317</v>
      </c>
      <c r="G169" s="91" t="s">
        <v>317</v>
      </c>
      <c r="H169" s="32">
        <v>96</v>
      </c>
      <c r="I169" s="31">
        <v>72</v>
      </c>
      <c r="J169" s="99">
        <v>0</v>
      </c>
      <c r="K169" s="96">
        <v>0</v>
      </c>
      <c r="L169" s="19"/>
    </row>
    <row r="170" spans="1:12" s="1" customFormat="1" ht="15" customHeight="1" thickBot="1" x14ac:dyDescent="0.4">
      <c r="A170" s="46">
        <f t="shared" si="2"/>
        <v>168</v>
      </c>
      <c r="B170" s="51">
        <v>12265300</v>
      </c>
      <c r="C170" s="48">
        <v>41055287</v>
      </c>
      <c r="D170" s="49" t="s">
        <v>334</v>
      </c>
      <c r="E170" s="49" t="s">
        <v>335</v>
      </c>
      <c r="F170" s="49" t="s">
        <v>317</v>
      </c>
      <c r="G170" s="91" t="s">
        <v>317</v>
      </c>
      <c r="H170" s="32">
        <v>99</v>
      </c>
      <c r="I170" s="31">
        <v>100</v>
      </c>
      <c r="J170" s="99">
        <v>365</v>
      </c>
      <c r="K170" s="96">
        <v>320</v>
      </c>
      <c r="L170" s="19"/>
    </row>
    <row r="171" spans="1:12" s="1" customFormat="1" ht="15" customHeight="1" thickBot="1" x14ac:dyDescent="0.4">
      <c r="A171" s="46">
        <f t="shared" si="2"/>
        <v>169</v>
      </c>
      <c r="B171" s="47">
        <v>11640800</v>
      </c>
      <c r="C171" s="48">
        <v>41047704</v>
      </c>
      <c r="D171" s="49" t="s">
        <v>336</v>
      </c>
      <c r="E171" s="49" t="s">
        <v>317</v>
      </c>
      <c r="F171" s="49" t="s">
        <v>317</v>
      </c>
      <c r="G171" s="91" t="s">
        <v>317</v>
      </c>
      <c r="H171" s="32">
        <v>165</v>
      </c>
      <c r="I171" s="31">
        <v>0</v>
      </c>
      <c r="J171" s="99">
        <v>75</v>
      </c>
      <c r="K171" s="96">
        <v>0</v>
      </c>
      <c r="L171" s="19"/>
    </row>
    <row r="172" spans="1:12" s="1" customFormat="1" ht="15" customHeight="1" thickBot="1" x14ac:dyDescent="0.4">
      <c r="A172" s="46">
        <f t="shared" si="2"/>
        <v>170</v>
      </c>
      <c r="B172" s="47">
        <v>12502270</v>
      </c>
      <c r="C172" s="48">
        <v>41054186</v>
      </c>
      <c r="D172" s="49" t="s">
        <v>337</v>
      </c>
      <c r="E172" s="49" t="s">
        <v>338</v>
      </c>
      <c r="F172" s="49" t="s">
        <v>317</v>
      </c>
      <c r="G172" s="91" t="s">
        <v>317</v>
      </c>
      <c r="H172" s="32">
        <v>127</v>
      </c>
      <c r="I172" s="31">
        <v>120</v>
      </c>
      <c r="J172" s="99">
        <v>347</v>
      </c>
      <c r="K172" s="96">
        <v>354</v>
      </c>
      <c r="L172" s="19"/>
    </row>
    <row r="173" spans="1:12" s="1" customFormat="1" ht="15" customHeight="1" thickBot="1" x14ac:dyDescent="0.4">
      <c r="A173" s="46">
        <f t="shared" si="2"/>
        <v>171</v>
      </c>
      <c r="B173" s="47">
        <v>12516390</v>
      </c>
      <c r="C173" s="48">
        <v>41053030</v>
      </c>
      <c r="D173" s="49" t="s">
        <v>339</v>
      </c>
      <c r="E173" s="49" t="s">
        <v>340</v>
      </c>
      <c r="F173" s="49" t="s">
        <v>317</v>
      </c>
      <c r="G173" s="91" t="s">
        <v>317</v>
      </c>
      <c r="H173" s="32">
        <v>40</v>
      </c>
      <c r="I173" s="31">
        <v>50</v>
      </c>
      <c r="J173" s="99">
        <v>240</v>
      </c>
      <c r="K173" s="96">
        <v>290</v>
      </c>
      <c r="L173" s="19"/>
    </row>
    <row r="174" spans="1:12" s="1" customFormat="1" ht="15" customHeight="1" thickBot="1" x14ac:dyDescent="0.4">
      <c r="A174" s="46">
        <f t="shared" si="2"/>
        <v>172</v>
      </c>
      <c r="B174" s="47">
        <v>12531710</v>
      </c>
      <c r="C174" s="48">
        <v>41051672</v>
      </c>
      <c r="D174" s="49" t="s">
        <v>341</v>
      </c>
      <c r="E174" s="49" t="s">
        <v>342</v>
      </c>
      <c r="F174" s="49" t="s">
        <v>317</v>
      </c>
      <c r="G174" s="91" t="s">
        <v>317</v>
      </c>
      <c r="H174" s="32">
        <v>110</v>
      </c>
      <c r="I174" s="31">
        <v>66</v>
      </c>
      <c r="J174" s="99">
        <v>26</v>
      </c>
      <c r="K174" s="96">
        <v>18</v>
      </c>
      <c r="L174" s="19"/>
    </row>
    <row r="175" spans="1:12" s="1" customFormat="1" ht="15" customHeight="1" thickBot="1" x14ac:dyDescent="0.4">
      <c r="A175" s="46">
        <f t="shared" si="2"/>
        <v>173</v>
      </c>
      <c r="B175" s="47">
        <v>12532400</v>
      </c>
      <c r="C175" s="48">
        <v>41051741</v>
      </c>
      <c r="D175" s="49" t="s">
        <v>343</v>
      </c>
      <c r="E175" s="49" t="s">
        <v>335</v>
      </c>
      <c r="F175" s="49" t="s">
        <v>317</v>
      </c>
      <c r="G175" s="91" t="s">
        <v>317</v>
      </c>
      <c r="H175" s="32">
        <v>36</v>
      </c>
      <c r="I175" s="31">
        <v>28</v>
      </c>
      <c r="J175" s="99">
        <v>96</v>
      </c>
      <c r="K175" s="96">
        <v>56</v>
      </c>
      <c r="L175" s="19"/>
    </row>
    <row r="176" spans="1:12" s="1" customFormat="1" ht="15" customHeight="1" thickBot="1" x14ac:dyDescent="0.4">
      <c r="A176" s="46">
        <f t="shared" si="2"/>
        <v>174</v>
      </c>
      <c r="B176" s="54">
        <v>12550160</v>
      </c>
      <c r="C176" s="48">
        <v>41049166</v>
      </c>
      <c r="D176" s="49" t="s">
        <v>344</v>
      </c>
      <c r="E176" s="49" t="s">
        <v>345</v>
      </c>
      <c r="F176" s="49" t="s">
        <v>317</v>
      </c>
      <c r="G176" s="91" t="s">
        <v>317</v>
      </c>
      <c r="H176" s="32">
        <v>44</v>
      </c>
      <c r="I176" s="31">
        <v>36</v>
      </c>
      <c r="J176" s="99">
        <v>112</v>
      </c>
      <c r="K176" s="96">
        <v>84</v>
      </c>
      <c r="L176" s="19"/>
    </row>
    <row r="177" spans="1:12" s="1" customFormat="1" ht="15" customHeight="1" thickBot="1" x14ac:dyDescent="0.4">
      <c r="A177" s="46">
        <f t="shared" si="2"/>
        <v>175</v>
      </c>
      <c r="B177" s="54">
        <v>12561390</v>
      </c>
      <c r="C177" s="48">
        <v>41048328</v>
      </c>
      <c r="D177" s="49" t="s">
        <v>346</v>
      </c>
      <c r="E177" s="49" t="s">
        <v>347</v>
      </c>
      <c r="F177" s="49" t="s">
        <v>317</v>
      </c>
      <c r="G177" s="91" t="s">
        <v>317</v>
      </c>
      <c r="H177" s="32">
        <v>30</v>
      </c>
      <c r="I177" s="31">
        <v>34</v>
      </c>
      <c r="J177" s="99">
        <v>66</v>
      </c>
      <c r="K177" s="96">
        <v>86</v>
      </c>
      <c r="L177" s="19"/>
    </row>
    <row r="178" spans="1:12" s="1" customFormat="1" ht="15" customHeight="1" thickBot="1" x14ac:dyDescent="0.4">
      <c r="A178" s="46">
        <f t="shared" si="2"/>
        <v>176</v>
      </c>
      <c r="B178" s="54">
        <v>12549510</v>
      </c>
      <c r="C178" s="48">
        <v>41049840</v>
      </c>
      <c r="D178" s="49" t="s">
        <v>348</v>
      </c>
      <c r="E178" s="49" t="s">
        <v>349</v>
      </c>
      <c r="F178" s="49" t="s">
        <v>317</v>
      </c>
      <c r="G178" s="91" t="s">
        <v>317</v>
      </c>
      <c r="H178" s="32">
        <v>63</v>
      </c>
      <c r="I178" s="31">
        <v>57</v>
      </c>
      <c r="J178" s="99">
        <v>129</v>
      </c>
      <c r="K178" s="96">
        <v>147</v>
      </c>
      <c r="L178" s="19"/>
    </row>
    <row r="179" spans="1:12" s="1" customFormat="1" ht="15" customHeight="1" thickBot="1" x14ac:dyDescent="0.4">
      <c r="A179" s="46">
        <f t="shared" si="2"/>
        <v>177</v>
      </c>
      <c r="B179" s="54">
        <v>12595950</v>
      </c>
      <c r="C179" s="48">
        <v>41037551</v>
      </c>
      <c r="D179" s="49" t="s">
        <v>350</v>
      </c>
      <c r="E179" s="49" t="s">
        <v>351</v>
      </c>
      <c r="F179" s="49" t="s">
        <v>317</v>
      </c>
      <c r="G179" s="91" t="s">
        <v>317</v>
      </c>
      <c r="H179" s="32">
        <v>39</v>
      </c>
      <c r="I179" s="31">
        <v>27</v>
      </c>
      <c r="J179" s="99">
        <v>81</v>
      </c>
      <c r="K179" s="96">
        <v>57</v>
      </c>
      <c r="L179" s="19"/>
    </row>
    <row r="180" spans="1:12" s="1" customFormat="1" ht="15" customHeight="1" thickBot="1" x14ac:dyDescent="0.4">
      <c r="A180" s="46">
        <f t="shared" si="2"/>
        <v>178</v>
      </c>
      <c r="B180" s="54">
        <v>12596740</v>
      </c>
      <c r="C180" s="48">
        <v>41037867</v>
      </c>
      <c r="D180" s="49" t="s">
        <v>352</v>
      </c>
      <c r="E180" s="49" t="s">
        <v>353</v>
      </c>
      <c r="F180" s="49" t="s">
        <v>317</v>
      </c>
      <c r="G180" s="91" t="s">
        <v>317</v>
      </c>
      <c r="H180" s="32">
        <v>87</v>
      </c>
      <c r="I180" s="31">
        <v>114</v>
      </c>
      <c r="J180" s="99">
        <v>73</v>
      </c>
      <c r="K180" s="96">
        <v>110</v>
      </c>
      <c r="L180" s="19"/>
    </row>
    <row r="181" spans="1:12" s="1" customFormat="1" ht="15" customHeight="1" thickBot="1" x14ac:dyDescent="0.4">
      <c r="A181" s="46">
        <f t="shared" si="2"/>
        <v>179</v>
      </c>
      <c r="B181" s="54">
        <v>12600070</v>
      </c>
      <c r="C181" s="48">
        <v>41036942</v>
      </c>
      <c r="D181" s="49" t="s">
        <v>354</v>
      </c>
      <c r="E181" s="49" t="s">
        <v>355</v>
      </c>
      <c r="F181" s="49" t="s">
        <v>317</v>
      </c>
      <c r="G181" s="91" t="s">
        <v>317</v>
      </c>
      <c r="H181" s="32">
        <v>59</v>
      </c>
      <c r="I181" s="31">
        <v>90</v>
      </c>
      <c r="J181" s="99">
        <v>37</v>
      </c>
      <c r="K181" s="96">
        <v>54</v>
      </c>
      <c r="L181" s="19"/>
    </row>
    <row r="182" spans="1:12" s="1" customFormat="1" ht="15" customHeight="1" thickBot="1" x14ac:dyDescent="0.4">
      <c r="A182" s="46">
        <f t="shared" si="2"/>
        <v>180</v>
      </c>
      <c r="B182" s="47">
        <v>12164700</v>
      </c>
      <c r="C182" s="48">
        <v>41056004</v>
      </c>
      <c r="D182" s="49" t="s">
        <v>356</v>
      </c>
      <c r="E182" s="49" t="s">
        <v>357</v>
      </c>
      <c r="F182" s="49" t="s">
        <v>358</v>
      </c>
      <c r="G182" s="91" t="s">
        <v>317</v>
      </c>
      <c r="H182" s="32">
        <v>39</v>
      </c>
      <c r="I182" s="31">
        <v>45</v>
      </c>
      <c r="J182" s="99">
        <v>71</v>
      </c>
      <c r="K182" s="96">
        <v>85</v>
      </c>
      <c r="L182" s="19"/>
    </row>
    <row r="183" spans="1:12" s="1" customFormat="1" ht="15" customHeight="1" thickBot="1" x14ac:dyDescent="0.4">
      <c r="A183" s="46">
        <f t="shared" si="2"/>
        <v>181</v>
      </c>
      <c r="B183" s="47">
        <v>12208200</v>
      </c>
      <c r="C183" s="48">
        <v>41055571</v>
      </c>
      <c r="D183" s="49" t="s">
        <v>359</v>
      </c>
      <c r="E183" s="49" t="s">
        <v>360</v>
      </c>
      <c r="F183" s="49" t="s">
        <v>358</v>
      </c>
      <c r="G183" s="91" t="s">
        <v>317</v>
      </c>
      <c r="H183" s="32">
        <v>46</v>
      </c>
      <c r="I183" s="31">
        <v>42</v>
      </c>
      <c r="J183" s="99">
        <v>102</v>
      </c>
      <c r="K183" s="96">
        <v>70</v>
      </c>
      <c r="L183" s="19"/>
    </row>
    <row r="184" spans="1:12" s="1" customFormat="1" ht="15" customHeight="1" thickBot="1" x14ac:dyDescent="0.4">
      <c r="A184" s="46">
        <f t="shared" si="2"/>
        <v>182</v>
      </c>
      <c r="B184" s="47">
        <v>12506460</v>
      </c>
      <c r="C184" s="48">
        <v>41053836</v>
      </c>
      <c r="D184" s="49" t="s">
        <v>361</v>
      </c>
      <c r="E184" s="49" t="s">
        <v>362</v>
      </c>
      <c r="F184" s="49" t="s">
        <v>358</v>
      </c>
      <c r="G184" s="91" t="s">
        <v>317</v>
      </c>
      <c r="H184" s="32">
        <v>59</v>
      </c>
      <c r="I184" s="31">
        <v>61</v>
      </c>
      <c r="J184" s="99">
        <v>97</v>
      </c>
      <c r="K184" s="96">
        <v>93</v>
      </c>
      <c r="L184" s="19"/>
    </row>
    <row r="185" spans="1:12" s="1" customFormat="1" ht="15" customHeight="1" thickBot="1" x14ac:dyDescent="0.4">
      <c r="A185" s="46">
        <f t="shared" si="2"/>
        <v>183</v>
      </c>
      <c r="B185" s="47">
        <v>12208300</v>
      </c>
      <c r="C185" s="48">
        <v>41055572</v>
      </c>
      <c r="D185" s="49" t="s">
        <v>363</v>
      </c>
      <c r="E185" s="49" t="s">
        <v>364</v>
      </c>
      <c r="F185" s="49" t="s">
        <v>358</v>
      </c>
      <c r="G185" s="91" t="s">
        <v>317</v>
      </c>
      <c r="H185" s="32">
        <v>59</v>
      </c>
      <c r="I185" s="31">
        <v>77</v>
      </c>
      <c r="J185" s="99">
        <v>127</v>
      </c>
      <c r="K185" s="96">
        <v>161</v>
      </c>
      <c r="L185" s="19"/>
    </row>
    <row r="186" spans="1:12" s="1" customFormat="1" ht="15" customHeight="1" thickBot="1" x14ac:dyDescent="0.4">
      <c r="A186" s="46">
        <f t="shared" si="2"/>
        <v>184</v>
      </c>
      <c r="B186" s="47">
        <v>11000120</v>
      </c>
      <c r="C186" s="48">
        <v>41053708</v>
      </c>
      <c r="D186" s="49" t="s">
        <v>365</v>
      </c>
      <c r="E186" s="49" t="s">
        <v>358</v>
      </c>
      <c r="F186" s="49" t="s">
        <v>358</v>
      </c>
      <c r="G186" s="91" t="s">
        <v>317</v>
      </c>
      <c r="H186" s="32">
        <v>52</v>
      </c>
      <c r="I186" s="31">
        <v>61</v>
      </c>
      <c r="J186" s="99">
        <v>104</v>
      </c>
      <c r="K186" s="96">
        <v>131</v>
      </c>
      <c r="L186" s="19"/>
    </row>
    <row r="187" spans="1:12" s="1" customFormat="1" ht="15" customHeight="1" thickBot="1" x14ac:dyDescent="0.4">
      <c r="A187" s="46">
        <f t="shared" si="2"/>
        <v>185</v>
      </c>
      <c r="B187" s="54">
        <v>12570400</v>
      </c>
      <c r="C187" s="48">
        <v>41044694</v>
      </c>
      <c r="D187" s="49" t="s">
        <v>366</v>
      </c>
      <c r="E187" s="49" t="s">
        <v>367</v>
      </c>
      <c r="F187" s="49" t="s">
        <v>358</v>
      </c>
      <c r="G187" s="91" t="s">
        <v>317</v>
      </c>
      <c r="H187" s="32">
        <v>51.5</v>
      </c>
      <c r="I187" s="31">
        <v>48</v>
      </c>
      <c r="J187" s="99">
        <v>106.5</v>
      </c>
      <c r="K187" s="96">
        <v>94</v>
      </c>
      <c r="L187" s="19"/>
    </row>
    <row r="188" spans="1:12" s="1" customFormat="1" ht="15" customHeight="1" thickBot="1" x14ac:dyDescent="0.4">
      <c r="A188" s="46">
        <f t="shared" si="2"/>
        <v>186</v>
      </c>
      <c r="B188" s="47">
        <v>11736200</v>
      </c>
      <c r="C188" s="48">
        <v>41042501</v>
      </c>
      <c r="D188" s="49" t="s">
        <v>368</v>
      </c>
      <c r="E188" s="49" t="s">
        <v>358</v>
      </c>
      <c r="F188" s="49" t="s">
        <v>358</v>
      </c>
      <c r="G188" s="91" t="s">
        <v>317</v>
      </c>
      <c r="H188" s="32">
        <v>0</v>
      </c>
      <c r="I188" s="31">
        <v>0</v>
      </c>
      <c r="J188" s="99">
        <v>0</v>
      </c>
      <c r="K188" s="96">
        <v>0</v>
      </c>
      <c r="L188" s="19"/>
    </row>
    <row r="189" spans="1:12" s="1" customFormat="1" ht="15" customHeight="1" thickBot="1" x14ac:dyDescent="0.4">
      <c r="A189" s="46">
        <f t="shared" si="2"/>
        <v>187</v>
      </c>
      <c r="B189" s="47">
        <v>12594180</v>
      </c>
      <c r="C189" s="48">
        <v>41039039</v>
      </c>
      <c r="D189" s="49" t="s">
        <v>369</v>
      </c>
      <c r="E189" s="49" t="s">
        <v>358</v>
      </c>
      <c r="F189" s="49" t="s">
        <v>358</v>
      </c>
      <c r="G189" s="91" t="s">
        <v>317</v>
      </c>
      <c r="H189" s="32">
        <v>52</v>
      </c>
      <c r="I189" s="31">
        <v>55</v>
      </c>
      <c r="J189" s="99">
        <v>76</v>
      </c>
      <c r="K189" s="96">
        <v>113</v>
      </c>
      <c r="L189" s="19"/>
    </row>
    <row r="190" spans="1:12" s="1" customFormat="1" ht="15" customHeight="1" thickBot="1" x14ac:dyDescent="0.4">
      <c r="A190" s="46">
        <f t="shared" si="2"/>
        <v>188</v>
      </c>
      <c r="B190" s="50">
        <v>12524580</v>
      </c>
      <c r="C190" s="48">
        <v>41052318</v>
      </c>
      <c r="D190" s="49" t="s">
        <v>370</v>
      </c>
      <c r="E190" s="49" t="s">
        <v>371</v>
      </c>
      <c r="F190" s="49" t="s">
        <v>372</v>
      </c>
      <c r="G190" s="91" t="s">
        <v>317</v>
      </c>
      <c r="H190" s="32">
        <v>66</v>
      </c>
      <c r="I190" s="31">
        <v>60</v>
      </c>
      <c r="J190" s="99">
        <v>138</v>
      </c>
      <c r="K190" s="96">
        <v>156</v>
      </c>
      <c r="L190" s="19"/>
    </row>
    <row r="191" spans="1:12" s="1" customFormat="1" ht="15" customHeight="1" thickBot="1" x14ac:dyDescent="0.4">
      <c r="A191" s="46">
        <f t="shared" si="2"/>
        <v>189</v>
      </c>
      <c r="B191" s="54">
        <v>12551600</v>
      </c>
      <c r="C191" s="48">
        <v>41049334</v>
      </c>
      <c r="D191" s="49" t="s">
        <v>373</v>
      </c>
      <c r="E191" s="49" t="s">
        <v>372</v>
      </c>
      <c r="F191" s="49" t="s">
        <v>372</v>
      </c>
      <c r="G191" s="91" t="s">
        <v>317</v>
      </c>
      <c r="H191" s="32">
        <v>84</v>
      </c>
      <c r="I191" s="31">
        <v>75</v>
      </c>
      <c r="J191" s="99">
        <v>160</v>
      </c>
      <c r="K191" s="96">
        <v>137</v>
      </c>
      <c r="L191" s="19"/>
    </row>
    <row r="192" spans="1:12" s="1" customFormat="1" ht="15" customHeight="1" thickBot="1" x14ac:dyDescent="0.4">
      <c r="A192" s="46">
        <f t="shared" si="2"/>
        <v>190</v>
      </c>
      <c r="B192" s="51">
        <v>12536560</v>
      </c>
      <c r="C192" s="48">
        <v>41050707</v>
      </c>
      <c r="D192" s="49" t="s">
        <v>374</v>
      </c>
      <c r="E192" s="49" t="s">
        <v>375</v>
      </c>
      <c r="F192" s="49" t="s">
        <v>376</v>
      </c>
      <c r="G192" s="91" t="s">
        <v>317</v>
      </c>
      <c r="H192" s="32">
        <v>15</v>
      </c>
      <c r="I192" s="31">
        <v>21</v>
      </c>
      <c r="J192" s="99">
        <v>45</v>
      </c>
      <c r="K192" s="96">
        <v>87</v>
      </c>
      <c r="L192" s="19"/>
    </row>
    <row r="193" spans="1:12" s="1" customFormat="1" ht="15" customHeight="1" thickBot="1" x14ac:dyDescent="0.4">
      <c r="A193" s="46">
        <f t="shared" si="2"/>
        <v>191</v>
      </c>
      <c r="B193" s="56">
        <v>12558820</v>
      </c>
      <c r="C193" s="48">
        <v>41048002</v>
      </c>
      <c r="D193" s="49" t="s">
        <v>377</v>
      </c>
      <c r="E193" s="49" t="s">
        <v>376</v>
      </c>
      <c r="F193" s="49" t="s">
        <v>376</v>
      </c>
      <c r="G193" s="91" t="s">
        <v>317</v>
      </c>
      <c r="H193" s="32">
        <v>73</v>
      </c>
      <c r="I193" s="31">
        <v>84</v>
      </c>
      <c r="J193" s="99">
        <v>107</v>
      </c>
      <c r="K193" s="96">
        <v>166</v>
      </c>
      <c r="L193" s="19"/>
    </row>
    <row r="194" spans="1:12" s="1" customFormat="1" ht="15" customHeight="1" thickBot="1" x14ac:dyDescent="0.4">
      <c r="A194" s="46">
        <f t="shared" si="2"/>
        <v>192</v>
      </c>
      <c r="B194" s="47">
        <v>12534230</v>
      </c>
      <c r="C194" s="48">
        <v>41051183</v>
      </c>
      <c r="D194" s="49" t="s">
        <v>378</v>
      </c>
      <c r="E194" s="49" t="s">
        <v>379</v>
      </c>
      <c r="F194" s="49" t="s">
        <v>376</v>
      </c>
      <c r="G194" s="91" t="s">
        <v>317</v>
      </c>
      <c r="H194" s="32">
        <v>42</v>
      </c>
      <c r="I194" s="31">
        <v>48</v>
      </c>
      <c r="J194" s="99">
        <v>150</v>
      </c>
      <c r="K194" s="96">
        <v>156</v>
      </c>
      <c r="L194" s="19"/>
    </row>
    <row r="195" spans="1:12" s="1" customFormat="1" ht="15" customHeight="1" thickBot="1" x14ac:dyDescent="0.4">
      <c r="A195" s="46">
        <f t="shared" si="2"/>
        <v>193</v>
      </c>
      <c r="B195" s="47">
        <v>12592760</v>
      </c>
      <c r="C195" s="48">
        <v>41040772</v>
      </c>
      <c r="D195" s="49" t="s">
        <v>380</v>
      </c>
      <c r="E195" s="49" t="s">
        <v>381</v>
      </c>
      <c r="F195" s="49" t="s">
        <v>376</v>
      </c>
      <c r="G195" s="91" t="s">
        <v>317</v>
      </c>
      <c r="H195" s="32">
        <v>23</v>
      </c>
      <c r="I195" s="31">
        <v>28</v>
      </c>
      <c r="J195" s="99">
        <v>49</v>
      </c>
      <c r="K195" s="96">
        <v>64</v>
      </c>
      <c r="L195" s="19"/>
    </row>
    <row r="196" spans="1:12" s="1" customFormat="1" ht="15" customHeight="1" thickBot="1" x14ac:dyDescent="0.4">
      <c r="A196" s="46">
        <f t="shared" ref="A196:A259" si="3">+A195+1</f>
        <v>194</v>
      </c>
      <c r="B196" s="47">
        <v>11639400</v>
      </c>
      <c r="C196" s="48">
        <v>41048434</v>
      </c>
      <c r="D196" s="49" t="s">
        <v>382</v>
      </c>
      <c r="E196" s="49" t="s">
        <v>383</v>
      </c>
      <c r="F196" s="49" t="s">
        <v>383</v>
      </c>
      <c r="G196" s="91" t="s">
        <v>317</v>
      </c>
      <c r="H196" s="32">
        <v>30</v>
      </c>
      <c r="I196" s="31">
        <v>52</v>
      </c>
      <c r="J196" s="99">
        <v>110</v>
      </c>
      <c r="K196" s="96">
        <v>128</v>
      </c>
      <c r="L196" s="19"/>
    </row>
    <row r="197" spans="1:12" s="1" customFormat="1" ht="15" customHeight="1" thickBot="1" x14ac:dyDescent="0.4">
      <c r="A197" s="46">
        <f t="shared" si="3"/>
        <v>195</v>
      </c>
      <c r="B197" s="47">
        <v>12534270</v>
      </c>
      <c r="C197" s="48">
        <v>41051186</v>
      </c>
      <c r="D197" s="49" t="s">
        <v>384</v>
      </c>
      <c r="E197" s="49" t="s">
        <v>383</v>
      </c>
      <c r="F197" s="49" t="s">
        <v>383</v>
      </c>
      <c r="G197" s="91" t="s">
        <v>317</v>
      </c>
      <c r="H197" s="32">
        <v>60</v>
      </c>
      <c r="I197" s="31">
        <v>62</v>
      </c>
      <c r="J197" s="99">
        <v>108</v>
      </c>
      <c r="K197" s="96">
        <v>148</v>
      </c>
      <c r="L197" s="19"/>
    </row>
    <row r="198" spans="1:12" s="1" customFormat="1" ht="15" customHeight="1" thickBot="1" x14ac:dyDescent="0.4">
      <c r="A198" s="46">
        <f t="shared" si="3"/>
        <v>196</v>
      </c>
      <c r="B198" s="47">
        <v>12534260</v>
      </c>
      <c r="C198" s="48">
        <v>41051185</v>
      </c>
      <c r="D198" s="49" t="s">
        <v>293</v>
      </c>
      <c r="E198" s="49" t="s">
        <v>385</v>
      </c>
      <c r="F198" s="49" t="s">
        <v>383</v>
      </c>
      <c r="G198" s="91" t="s">
        <v>317</v>
      </c>
      <c r="H198" s="32">
        <v>51</v>
      </c>
      <c r="I198" s="31">
        <v>51</v>
      </c>
      <c r="J198" s="99">
        <v>129</v>
      </c>
      <c r="K198" s="96">
        <v>141</v>
      </c>
      <c r="L198" s="19"/>
    </row>
    <row r="199" spans="1:12" s="1" customFormat="1" ht="15" customHeight="1" thickBot="1" x14ac:dyDescent="0.4">
      <c r="A199" s="46">
        <f t="shared" si="3"/>
        <v>197</v>
      </c>
      <c r="B199" s="47">
        <v>12534300</v>
      </c>
      <c r="C199" s="48">
        <v>41051190</v>
      </c>
      <c r="D199" s="49" t="s">
        <v>386</v>
      </c>
      <c r="E199" s="49" t="s">
        <v>387</v>
      </c>
      <c r="F199" s="49" t="s">
        <v>383</v>
      </c>
      <c r="G199" s="91" t="s">
        <v>317</v>
      </c>
      <c r="H199" s="32">
        <v>49</v>
      </c>
      <c r="I199" s="31">
        <v>28</v>
      </c>
      <c r="J199" s="99">
        <v>91</v>
      </c>
      <c r="K199" s="96">
        <v>70</v>
      </c>
      <c r="L199" s="19"/>
    </row>
    <row r="200" spans="1:12" s="1" customFormat="1" ht="15" customHeight="1" thickBot="1" x14ac:dyDescent="0.4">
      <c r="A200" s="46">
        <f t="shared" si="3"/>
        <v>198</v>
      </c>
      <c r="B200" s="47">
        <v>12163000</v>
      </c>
      <c r="C200" s="48">
        <v>41055987</v>
      </c>
      <c r="D200" s="49" t="s">
        <v>388</v>
      </c>
      <c r="E200" s="49" t="s">
        <v>383</v>
      </c>
      <c r="F200" s="49" t="s">
        <v>383</v>
      </c>
      <c r="G200" s="91" t="s">
        <v>317</v>
      </c>
      <c r="H200" s="32">
        <v>66</v>
      </c>
      <c r="I200" s="31">
        <v>86</v>
      </c>
      <c r="J200" s="99">
        <v>250</v>
      </c>
      <c r="K200" s="96">
        <v>314</v>
      </c>
      <c r="L200" s="19"/>
    </row>
    <row r="201" spans="1:12" s="1" customFormat="1" ht="15" customHeight="1" thickBot="1" x14ac:dyDescent="0.4">
      <c r="A201" s="46">
        <f t="shared" si="3"/>
        <v>199</v>
      </c>
      <c r="B201" s="50">
        <v>12530250</v>
      </c>
      <c r="C201" s="48">
        <v>41051511</v>
      </c>
      <c r="D201" s="49" t="s">
        <v>389</v>
      </c>
      <c r="E201" s="49" t="s">
        <v>390</v>
      </c>
      <c r="F201" s="49" t="s">
        <v>383</v>
      </c>
      <c r="G201" s="91" t="s">
        <v>317</v>
      </c>
      <c r="H201" s="32">
        <v>60</v>
      </c>
      <c r="I201" s="31">
        <v>76</v>
      </c>
      <c r="J201" s="99">
        <v>120</v>
      </c>
      <c r="K201" s="96">
        <v>164</v>
      </c>
      <c r="L201" s="19"/>
    </row>
    <row r="202" spans="1:12" s="1" customFormat="1" ht="15" customHeight="1" thickBot="1" x14ac:dyDescent="0.4">
      <c r="A202" s="46">
        <f t="shared" si="3"/>
        <v>200</v>
      </c>
      <c r="B202" s="54">
        <v>12534250</v>
      </c>
      <c r="C202" s="48">
        <v>41051184</v>
      </c>
      <c r="D202" s="49" t="s">
        <v>391</v>
      </c>
      <c r="E202" s="49" t="s">
        <v>392</v>
      </c>
      <c r="F202" s="49" t="s">
        <v>383</v>
      </c>
      <c r="G202" s="91" t="s">
        <v>317</v>
      </c>
      <c r="H202" s="32">
        <v>33</v>
      </c>
      <c r="I202" s="31">
        <v>42</v>
      </c>
      <c r="J202" s="99">
        <v>75</v>
      </c>
      <c r="K202" s="96">
        <v>126</v>
      </c>
      <c r="L202" s="19"/>
    </row>
    <row r="203" spans="1:12" s="1" customFormat="1" ht="15" customHeight="1" thickBot="1" x14ac:dyDescent="0.4">
      <c r="A203" s="46">
        <f t="shared" si="3"/>
        <v>201</v>
      </c>
      <c r="B203" s="53">
        <v>12550150</v>
      </c>
      <c r="C203" s="48">
        <v>41049165</v>
      </c>
      <c r="D203" s="49" t="s">
        <v>393</v>
      </c>
      <c r="E203" s="49" t="s">
        <v>394</v>
      </c>
      <c r="F203" s="49" t="s">
        <v>383</v>
      </c>
      <c r="G203" s="91" t="s">
        <v>317</v>
      </c>
      <c r="H203" s="32">
        <v>16</v>
      </c>
      <c r="I203" s="31">
        <v>21</v>
      </c>
      <c r="J203" s="99">
        <v>72</v>
      </c>
      <c r="K203" s="96">
        <v>63</v>
      </c>
      <c r="L203" s="19"/>
    </row>
    <row r="204" spans="1:12" s="1" customFormat="1" ht="15" customHeight="1" thickBot="1" x14ac:dyDescent="0.4">
      <c r="A204" s="46">
        <f t="shared" si="3"/>
        <v>202</v>
      </c>
      <c r="B204" s="47">
        <v>12163500</v>
      </c>
      <c r="C204" s="48">
        <v>41055992</v>
      </c>
      <c r="D204" s="49" t="s">
        <v>395</v>
      </c>
      <c r="E204" s="49" t="s">
        <v>396</v>
      </c>
      <c r="F204" s="49" t="s">
        <v>383</v>
      </c>
      <c r="G204" s="91" t="s">
        <v>317</v>
      </c>
      <c r="H204" s="32">
        <v>31.5</v>
      </c>
      <c r="I204" s="31">
        <v>33</v>
      </c>
      <c r="J204" s="99">
        <v>64.5</v>
      </c>
      <c r="K204" s="96">
        <v>85</v>
      </c>
      <c r="L204" s="19"/>
    </row>
    <row r="205" spans="1:12" s="1" customFormat="1" ht="15" customHeight="1" thickBot="1" x14ac:dyDescent="0.4">
      <c r="A205" s="46">
        <f t="shared" si="3"/>
        <v>203</v>
      </c>
      <c r="B205" s="54">
        <v>12543790</v>
      </c>
      <c r="C205" s="48">
        <v>41049950</v>
      </c>
      <c r="D205" s="49" t="s">
        <v>397</v>
      </c>
      <c r="E205" s="49" t="s">
        <v>398</v>
      </c>
      <c r="F205" s="49" t="s">
        <v>383</v>
      </c>
      <c r="G205" s="91" t="s">
        <v>317</v>
      </c>
      <c r="H205" s="32">
        <v>73.5</v>
      </c>
      <c r="I205" s="31">
        <v>84</v>
      </c>
      <c r="J205" s="99">
        <v>150.5</v>
      </c>
      <c r="K205" s="96">
        <v>168</v>
      </c>
      <c r="L205" s="19"/>
    </row>
    <row r="206" spans="1:12" s="1" customFormat="1" ht="15" customHeight="1" thickBot="1" x14ac:dyDescent="0.4">
      <c r="A206" s="46">
        <f t="shared" si="3"/>
        <v>204</v>
      </c>
      <c r="B206" s="54">
        <v>12596730</v>
      </c>
      <c r="C206" s="48">
        <v>41037866</v>
      </c>
      <c r="D206" s="49" t="s">
        <v>399</v>
      </c>
      <c r="E206" s="49" t="s">
        <v>383</v>
      </c>
      <c r="F206" s="49" t="s">
        <v>383</v>
      </c>
      <c r="G206" s="91" t="s">
        <v>317</v>
      </c>
      <c r="H206" s="32">
        <v>99</v>
      </c>
      <c r="I206" s="31">
        <v>81</v>
      </c>
      <c r="J206" s="99">
        <v>225</v>
      </c>
      <c r="K206" s="96">
        <v>207</v>
      </c>
      <c r="L206" s="19"/>
    </row>
    <row r="207" spans="1:12" s="1" customFormat="1" ht="15" customHeight="1" thickBot="1" x14ac:dyDescent="0.4">
      <c r="A207" s="46">
        <f t="shared" si="3"/>
        <v>205</v>
      </c>
      <c r="B207" s="54">
        <v>12556430</v>
      </c>
      <c r="C207" s="48">
        <v>41048435</v>
      </c>
      <c r="D207" s="49" t="s">
        <v>400</v>
      </c>
      <c r="E207" s="49" t="s">
        <v>401</v>
      </c>
      <c r="F207" s="49" t="s">
        <v>317</v>
      </c>
      <c r="G207" s="91" t="s">
        <v>317</v>
      </c>
      <c r="H207" s="32">
        <v>54</v>
      </c>
      <c r="I207" s="31">
        <v>58.5</v>
      </c>
      <c r="J207" s="99">
        <v>162</v>
      </c>
      <c r="K207" s="96">
        <v>175.5</v>
      </c>
      <c r="L207" s="19"/>
    </row>
    <row r="208" spans="1:12" s="1" customFormat="1" ht="15" customHeight="1" thickBot="1" x14ac:dyDescent="0.4">
      <c r="A208" s="46">
        <f t="shared" si="3"/>
        <v>206</v>
      </c>
      <c r="B208" s="54">
        <v>12561360</v>
      </c>
      <c r="C208" s="48">
        <v>41048325</v>
      </c>
      <c r="D208" s="49" t="s">
        <v>402</v>
      </c>
      <c r="E208" s="49" t="s">
        <v>167</v>
      </c>
      <c r="F208" s="49" t="s">
        <v>372</v>
      </c>
      <c r="G208" s="91" t="s">
        <v>317</v>
      </c>
      <c r="H208" s="32">
        <v>12</v>
      </c>
      <c r="I208" s="31">
        <v>10</v>
      </c>
      <c r="J208" s="99">
        <v>36</v>
      </c>
      <c r="K208" s="96">
        <v>26</v>
      </c>
      <c r="L208" s="19"/>
    </row>
    <row r="209" spans="1:12" s="1" customFormat="1" ht="15" customHeight="1" thickBot="1" x14ac:dyDescent="0.4">
      <c r="A209" s="46">
        <f t="shared" si="3"/>
        <v>207</v>
      </c>
      <c r="B209" s="54">
        <v>12561370</v>
      </c>
      <c r="C209" s="48">
        <v>41048327</v>
      </c>
      <c r="D209" s="49" t="s">
        <v>403</v>
      </c>
      <c r="E209" s="49" t="s">
        <v>404</v>
      </c>
      <c r="F209" s="49" t="s">
        <v>383</v>
      </c>
      <c r="G209" s="91" t="s">
        <v>317</v>
      </c>
      <c r="H209" s="32">
        <v>51</v>
      </c>
      <c r="I209" s="31">
        <v>0</v>
      </c>
      <c r="J209" s="99">
        <v>77</v>
      </c>
      <c r="K209" s="96">
        <v>0</v>
      </c>
      <c r="L209" s="19"/>
    </row>
    <row r="210" spans="1:12" s="1" customFormat="1" ht="15" customHeight="1" thickBot="1" x14ac:dyDescent="0.4">
      <c r="A210" s="46">
        <f t="shared" si="3"/>
        <v>208</v>
      </c>
      <c r="B210" s="67">
        <v>12564360</v>
      </c>
      <c r="C210" s="48">
        <v>41047913</v>
      </c>
      <c r="D210" s="49" t="s">
        <v>405</v>
      </c>
      <c r="E210" s="49" t="s">
        <v>406</v>
      </c>
      <c r="F210" s="49" t="s">
        <v>358</v>
      </c>
      <c r="G210" s="91" t="s">
        <v>317</v>
      </c>
      <c r="H210" s="32">
        <v>36</v>
      </c>
      <c r="I210" s="31">
        <v>39</v>
      </c>
      <c r="J210" s="99">
        <v>72</v>
      </c>
      <c r="K210" s="96">
        <v>93</v>
      </c>
      <c r="L210" s="19"/>
    </row>
    <row r="211" spans="1:12" s="1" customFormat="1" ht="15" customHeight="1" thickBot="1" x14ac:dyDescent="0.4">
      <c r="A211" s="46">
        <f t="shared" si="3"/>
        <v>209</v>
      </c>
      <c r="B211" s="54">
        <v>12564400</v>
      </c>
      <c r="C211" s="48">
        <v>41047916</v>
      </c>
      <c r="D211" s="49" t="s">
        <v>407</v>
      </c>
      <c r="E211" s="49" t="s">
        <v>408</v>
      </c>
      <c r="F211" s="49" t="s">
        <v>317</v>
      </c>
      <c r="G211" s="91" t="s">
        <v>317</v>
      </c>
      <c r="H211" s="32">
        <v>206.5</v>
      </c>
      <c r="I211" s="31">
        <v>232</v>
      </c>
      <c r="J211" s="99">
        <v>59.5</v>
      </c>
      <c r="K211" s="96">
        <v>82</v>
      </c>
      <c r="L211" s="19"/>
    </row>
    <row r="212" spans="1:12" s="1" customFormat="1" ht="15" customHeight="1" thickBot="1" x14ac:dyDescent="0.4">
      <c r="A212" s="46">
        <f>+A211+1</f>
        <v>210</v>
      </c>
      <c r="B212" s="54"/>
      <c r="C212" s="48">
        <v>41044671</v>
      </c>
      <c r="D212" s="49" t="s">
        <v>857</v>
      </c>
      <c r="E212" s="49" t="s">
        <v>409</v>
      </c>
      <c r="F212" s="49" t="s">
        <v>317</v>
      </c>
      <c r="G212" s="91" t="s">
        <v>317</v>
      </c>
      <c r="H212" s="32">
        <v>32</v>
      </c>
      <c r="I212" s="31">
        <v>22</v>
      </c>
      <c r="J212" s="99">
        <v>64</v>
      </c>
      <c r="K212" s="96">
        <v>40</v>
      </c>
      <c r="L212" s="19"/>
    </row>
    <row r="213" spans="1:12" s="1" customFormat="1" ht="15" customHeight="1" thickBot="1" x14ac:dyDescent="0.4">
      <c r="A213" s="46">
        <f>+A212+1</f>
        <v>211</v>
      </c>
      <c r="B213" s="54">
        <v>12579020</v>
      </c>
      <c r="C213" s="48">
        <v>41043304</v>
      </c>
      <c r="D213" s="49" t="s">
        <v>410</v>
      </c>
      <c r="E213" s="49" t="s">
        <v>411</v>
      </c>
      <c r="F213" s="49" t="s">
        <v>412</v>
      </c>
      <c r="G213" s="91" t="s">
        <v>317</v>
      </c>
      <c r="H213" s="32">
        <v>48</v>
      </c>
      <c r="I213" s="31">
        <v>69</v>
      </c>
      <c r="J213" s="99">
        <v>188</v>
      </c>
      <c r="K213" s="96">
        <v>179</v>
      </c>
      <c r="L213" s="19"/>
    </row>
    <row r="214" spans="1:12" s="1" customFormat="1" ht="15" customHeight="1" thickBot="1" x14ac:dyDescent="0.4">
      <c r="A214" s="46">
        <f t="shared" si="3"/>
        <v>212</v>
      </c>
      <c r="B214" s="54">
        <v>12579070</v>
      </c>
      <c r="C214" s="48">
        <v>41043310</v>
      </c>
      <c r="D214" s="49" t="s">
        <v>413</v>
      </c>
      <c r="E214" s="49" t="s">
        <v>414</v>
      </c>
      <c r="F214" s="49" t="s">
        <v>372</v>
      </c>
      <c r="G214" s="91" t="s">
        <v>317</v>
      </c>
      <c r="H214" s="32">
        <v>56</v>
      </c>
      <c r="I214" s="31">
        <v>57</v>
      </c>
      <c r="J214" s="99">
        <v>128</v>
      </c>
      <c r="K214" s="96">
        <v>115</v>
      </c>
      <c r="L214" s="19"/>
    </row>
    <row r="215" spans="1:12" s="1" customFormat="1" ht="15" customHeight="1" thickBot="1" x14ac:dyDescent="0.4">
      <c r="A215" s="46">
        <f t="shared" si="3"/>
        <v>213</v>
      </c>
      <c r="B215" s="54">
        <v>12585920</v>
      </c>
      <c r="C215" s="48">
        <v>41044094</v>
      </c>
      <c r="D215" s="49" t="s">
        <v>415</v>
      </c>
      <c r="E215" s="49" t="s">
        <v>416</v>
      </c>
      <c r="F215" s="49" t="s">
        <v>358</v>
      </c>
      <c r="G215" s="91" t="s">
        <v>317</v>
      </c>
      <c r="H215" s="32">
        <v>40</v>
      </c>
      <c r="I215" s="31">
        <v>36</v>
      </c>
      <c r="J215" s="99">
        <v>56</v>
      </c>
      <c r="K215" s="96">
        <v>72</v>
      </c>
      <c r="L215" s="19"/>
    </row>
    <row r="216" spans="1:12" s="1" customFormat="1" ht="15" customHeight="1" thickBot="1" x14ac:dyDescent="0.4">
      <c r="A216" s="46">
        <f t="shared" si="3"/>
        <v>214</v>
      </c>
      <c r="B216" s="47"/>
      <c r="C216" s="48">
        <v>41053840</v>
      </c>
      <c r="D216" s="49" t="s">
        <v>417</v>
      </c>
      <c r="E216" s="49" t="s">
        <v>412</v>
      </c>
      <c r="F216" s="49" t="s">
        <v>412</v>
      </c>
      <c r="G216" s="91" t="s">
        <v>317</v>
      </c>
      <c r="H216" s="32">
        <v>30</v>
      </c>
      <c r="I216" s="31">
        <v>32</v>
      </c>
      <c r="J216" s="99">
        <v>30</v>
      </c>
      <c r="K216" s="96">
        <v>16</v>
      </c>
      <c r="L216" s="19"/>
    </row>
    <row r="217" spans="1:12" s="1" customFormat="1" ht="15" customHeight="1" thickBot="1" x14ac:dyDescent="0.4">
      <c r="A217" s="46">
        <f t="shared" si="3"/>
        <v>215</v>
      </c>
      <c r="B217" s="62">
        <v>12587250</v>
      </c>
      <c r="C217" s="48">
        <v>41042581</v>
      </c>
      <c r="D217" s="49" t="s">
        <v>418</v>
      </c>
      <c r="E217" s="49" t="s">
        <v>419</v>
      </c>
      <c r="F217" s="49" t="s">
        <v>317</v>
      </c>
      <c r="G217" s="91" t="s">
        <v>317</v>
      </c>
      <c r="H217" s="32">
        <v>133</v>
      </c>
      <c r="I217" s="31">
        <v>111</v>
      </c>
      <c r="J217" s="99">
        <v>119</v>
      </c>
      <c r="K217" s="96">
        <v>111</v>
      </c>
      <c r="L217" s="19"/>
    </row>
    <row r="218" spans="1:12" s="1" customFormat="1" ht="15" customHeight="1" thickBot="1" x14ac:dyDescent="0.4">
      <c r="A218" s="46">
        <f t="shared" si="3"/>
        <v>216</v>
      </c>
      <c r="B218" s="53">
        <v>12585940</v>
      </c>
      <c r="C218" s="48">
        <v>41044101</v>
      </c>
      <c r="D218" s="49" t="s">
        <v>420</v>
      </c>
      <c r="E218" s="49" t="s">
        <v>421</v>
      </c>
      <c r="F218" s="49" t="s">
        <v>412</v>
      </c>
      <c r="G218" s="91" t="s">
        <v>317</v>
      </c>
      <c r="H218" s="32">
        <v>10</v>
      </c>
      <c r="I218" s="31">
        <v>0</v>
      </c>
      <c r="J218" s="99">
        <v>14</v>
      </c>
      <c r="K218" s="96">
        <v>0</v>
      </c>
      <c r="L218" s="19"/>
    </row>
    <row r="219" spans="1:12" s="1" customFormat="1" ht="15" customHeight="1" thickBot="1" x14ac:dyDescent="0.4">
      <c r="A219" s="46">
        <f t="shared" si="3"/>
        <v>217</v>
      </c>
      <c r="B219" s="53">
        <v>12585930</v>
      </c>
      <c r="C219" s="48">
        <v>41044098</v>
      </c>
      <c r="D219" s="49" t="s">
        <v>422</v>
      </c>
      <c r="E219" s="49" t="s">
        <v>423</v>
      </c>
      <c r="F219" s="49" t="s">
        <v>317</v>
      </c>
      <c r="G219" s="91" t="s">
        <v>317</v>
      </c>
      <c r="H219" s="32">
        <v>99</v>
      </c>
      <c r="I219" s="31">
        <v>100</v>
      </c>
      <c r="J219" s="99">
        <v>99</v>
      </c>
      <c r="K219" s="96">
        <v>96</v>
      </c>
      <c r="L219" s="19"/>
    </row>
    <row r="220" spans="1:12" s="1" customFormat="1" ht="15" customHeight="1" thickBot="1" x14ac:dyDescent="0.4">
      <c r="A220" s="46">
        <f t="shared" si="3"/>
        <v>218</v>
      </c>
      <c r="B220" s="53"/>
      <c r="C220" s="48">
        <v>41066630</v>
      </c>
      <c r="D220" s="49" t="s">
        <v>424</v>
      </c>
      <c r="E220" s="49" t="s">
        <v>425</v>
      </c>
      <c r="F220" s="49" t="s">
        <v>317</v>
      </c>
      <c r="G220" s="91" t="s">
        <v>317</v>
      </c>
      <c r="H220" s="32">
        <v>30</v>
      </c>
      <c r="I220" s="31">
        <v>30</v>
      </c>
      <c r="J220" s="99">
        <v>78</v>
      </c>
      <c r="K220" s="96">
        <v>78</v>
      </c>
      <c r="L220" s="19"/>
    </row>
    <row r="221" spans="1:12" s="1" customFormat="1" ht="15" customHeight="1" thickBot="1" x14ac:dyDescent="0.4">
      <c r="A221" s="46">
        <f t="shared" si="3"/>
        <v>219</v>
      </c>
      <c r="B221" s="53"/>
      <c r="C221" s="48">
        <v>41066631</v>
      </c>
      <c r="D221" s="49" t="s">
        <v>426</v>
      </c>
      <c r="E221" s="49" t="s">
        <v>427</v>
      </c>
      <c r="F221" s="49" t="s">
        <v>317</v>
      </c>
      <c r="G221" s="91" t="s">
        <v>317</v>
      </c>
      <c r="H221" s="32">
        <v>21.5</v>
      </c>
      <c r="I221" s="31">
        <v>33</v>
      </c>
      <c r="J221" s="99">
        <v>134.5</v>
      </c>
      <c r="K221" s="96">
        <v>135</v>
      </c>
      <c r="L221" s="19"/>
    </row>
    <row r="222" spans="1:12" s="1" customFormat="1" ht="15" customHeight="1" thickBot="1" x14ac:dyDescent="0.4">
      <c r="A222" s="46">
        <f t="shared" si="3"/>
        <v>220</v>
      </c>
      <c r="B222" s="53"/>
      <c r="C222" s="48">
        <v>41070249</v>
      </c>
      <c r="D222" s="49" t="s">
        <v>428</v>
      </c>
      <c r="E222" s="57" t="s">
        <v>376</v>
      </c>
      <c r="F222" s="49" t="s">
        <v>317</v>
      </c>
      <c r="G222" s="91" t="s">
        <v>317</v>
      </c>
      <c r="H222" s="32">
        <v>90</v>
      </c>
      <c r="I222" s="31">
        <v>113</v>
      </c>
      <c r="J222" s="99">
        <v>170</v>
      </c>
      <c r="K222" s="96">
        <v>201</v>
      </c>
      <c r="L222" s="19"/>
    </row>
    <row r="223" spans="1:12" s="1" customFormat="1" ht="15" customHeight="1" thickBot="1" x14ac:dyDescent="0.4">
      <c r="A223" s="46">
        <f t="shared" si="3"/>
        <v>221</v>
      </c>
      <c r="B223" s="53"/>
      <c r="C223" s="48">
        <v>41069711</v>
      </c>
      <c r="D223" s="49" t="s">
        <v>429</v>
      </c>
      <c r="E223" s="57" t="s">
        <v>430</v>
      </c>
      <c r="F223" s="49" t="s">
        <v>317</v>
      </c>
      <c r="G223" s="92" t="s">
        <v>317</v>
      </c>
      <c r="H223" s="32">
        <v>180</v>
      </c>
      <c r="I223" s="31">
        <v>188</v>
      </c>
      <c r="J223" s="99">
        <v>110</v>
      </c>
      <c r="K223" s="96">
        <v>120</v>
      </c>
      <c r="L223" s="19"/>
    </row>
    <row r="224" spans="1:12" s="1" customFormat="1" ht="15" customHeight="1" thickBot="1" x14ac:dyDescent="0.4">
      <c r="A224" s="46">
        <f t="shared" si="3"/>
        <v>222</v>
      </c>
      <c r="B224" s="53"/>
      <c r="C224" s="48">
        <v>41077065</v>
      </c>
      <c r="D224" s="49" t="s">
        <v>431</v>
      </c>
      <c r="E224" s="57" t="s">
        <v>432</v>
      </c>
      <c r="F224" s="49" t="s">
        <v>317</v>
      </c>
      <c r="G224" s="92" t="s">
        <v>317</v>
      </c>
      <c r="H224" s="32">
        <v>0</v>
      </c>
      <c r="I224" s="31">
        <v>85</v>
      </c>
      <c r="J224" s="99">
        <v>0</v>
      </c>
      <c r="K224" s="96">
        <v>79</v>
      </c>
      <c r="L224" s="19"/>
    </row>
    <row r="225" spans="1:12" s="1" customFormat="1" ht="15" customHeight="1" thickBot="1" x14ac:dyDescent="0.4">
      <c r="A225" s="46">
        <f t="shared" si="3"/>
        <v>223</v>
      </c>
      <c r="B225" s="47"/>
      <c r="C225" s="48">
        <v>41072811</v>
      </c>
      <c r="D225" s="49" t="s">
        <v>433</v>
      </c>
      <c r="E225" s="49" t="s">
        <v>434</v>
      </c>
      <c r="F225" s="49" t="s">
        <v>317</v>
      </c>
      <c r="G225" s="91" t="s">
        <v>317</v>
      </c>
      <c r="H225" s="32">
        <v>15</v>
      </c>
      <c r="I225" s="31">
        <v>180</v>
      </c>
      <c r="J225" s="99">
        <v>5</v>
      </c>
      <c r="K225" s="96">
        <v>100</v>
      </c>
      <c r="L225" s="19"/>
    </row>
    <row r="226" spans="1:12" s="1" customFormat="1" ht="15" customHeight="1" thickBot="1" x14ac:dyDescent="0.4">
      <c r="A226" s="46">
        <f t="shared" si="3"/>
        <v>224</v>
      </c>
      <c r="B226" s="47"/>
      <c r="C226" s="48">
        <v>41076822</v>
      </c>
      <c r="D226" s="49" t="s">
        <v>435</v>
      </c>
      <c r="E226" s="49" t="s">
        <v>436</v>
      </c>
      <c r="F226" s="49" t="s">
        <v>317</v>
      </c>
      <c r="G226" s="91" t="s">
        <v>317</v>
      </c>
      <c r="H226" s="32">
        <v>12</v>
      </c>
      <c r="I226" s="31">
        <v>72</v>
      </c>
      <c r="J226" s="99">
        <v>24</v>
      </c>
      <c r="K226" s="96">
        <v>184</v>
      </c>
      <c r="L226" s="19"/>
    </row>
    <row r="227" spans="1:12" s="1" customFormat="1" ht="15" customHeight="1" thickBot="1" x14ac:dyDescent="0.4">
      <c r="A227" s="46">
        <f t="shared" si="3"/>
        <v>225</v>
      </c>
      <c r="B227" s="47">
        <v>11000020</v>
      </c>
      <c r="C227" s="48">
        <v>41058780</v>
      </c>
      <c r="D227" s="49" t="s">
        <v>437</v>
      </c>
      <c r="E227" s="49" t="s">
        <v>319</v>
      </c>
      <c r="F227" s="49" t="s">
        <v>317</v>
      </c>
      <c r="G227" s="91" t="s">
        <v>317</v>
      </c>
      <c r="H227" s="32">
        <v>0</v>
      </c>
      <c r="I227" s="31">
        <v>14</v>
      </c>
      <c r="J227" s="99">
        <v>0</v>
      </c>
      <c r="K227" s="96">
        <v>34</v>
      </c>
      <c r="L227" s="19"/>
    </row>
    <row r="228" spans="1:12" s="1" customFormat="1" ht="15" customHeight="1" thickBot="1" x14ac:dyDescent="0.4">
      <c r="A228" s="46">
        <f t="shared" si="3"/>
        <v>226</v>
      </c>
      <c r="B228" s="47"/>
      <c r="C228" s="48">
        <v>41085957</v>
      </c>
      <c r="D228" s="49" t="s">
        <v>438</v>
      </c>
      <c r="E228" s="49" t="s">
        <v>161</v>
      </c>
      <c r="F228" s="49" t="s">
        <v>358</v>
      </c>
      <c r="G228" s="91" t="s">
        <v>317</v>
      </c>
      <c r="H228" s="32">
        <v>0</v>
      </c>
      <c r="I228" s="31">
        <v>15</v>
      </c>
      <c r="J228" s="99">
        <v>0</v>
      </c>
      <c r="K228" s="96">
        <v>45</v>
      </c>
      <c r="L228" s="19"/>
    </row>
    <row r="229" spans="1:12" s="1" customFormat="1" ht="15" customHeight="1" thickBot="1" x14ac:dyDescent="0.4">
      <c r="A229" s="46">
        <f t="shared" si="3"/>
        <v>227</v>
      </c>
      <c r="B229" s="47"/>
      <c r="C229" s="48">
        <v>41086037</v>
      </c>
      <c r="D229" s="49" t="s">
        <v>439</v>
      </c>
      <c r="E229" s="49" t="s">
        <v>440</v>
      </c>
      <c r="F229" s="49" t="s">
        <v>317</v>
      </c>
      <c r="G229" s="91" t="s">
        <v>317</v>
      </c>
      <c r="H229" s="32">
        <v>0</v>
      </c>
      <c r="I229" s="31">
        <v>61</v>
      </c>
      <c r="J229" s="99">
        <v>0</v>
      </c>
      <c r="K229" s="96">
        <v>195</v>
      </c>
      <c r="L229" s="19"/>
    </row>
    <row r="230" spans="1:12" s="1" customFormat="1" ht="15" customHeight="1" thickBot="1" x14ac:dyDescent="0.4">
      <c r="A230" s="46">
        <f t="shared" si="3"/>
        <v>228</v>
      </c>
      <c r="B230" s="47"/>
      <c r="C230" s="48">
        <v>41083070</v>
      </c>
      <c r="D230" s="49" t="s">
        <v>441</v>
      </c>
      <c r="E230" s="49" t="s">
        <v>442</v>
      </c>
      <c r="F230" s="49" t="s">
        <v>317</v>
      </c>
      <c r="G230" s="91" t="s">
        <v>317</v>
      </c>
      <c r="H230" s="32">
        <v>0</v>
      </c>
      <c r="I230" s="31">
        <v>60</v>
      </c>
      <c r="J230" s="99">
        <v>0</v>
      </c>
      <c r="K230" s="96">
        <v>48</v>
      </c>
      <c r="L230" s="19"/>
    </row>
    <row r="231" spans="1:12" s="1" customFormat="1" ht="15" customHeight="1" thickBot="1" x14ac:dyDescent="0.4">
      <c r="A231" s="46">
        <f t="shared" si="3"/>
        <v>229</v>
      </c>
      <c r="B231" s="68"/>
      <c r="C231" s="48">
        <v>41088958</v>
      </c>
      <c r="D231" s="49" t="s">
        <v>835</v>
      </c>
      <c r="E231" s="49" t="s">
        <v>355</v>
      </c>
      <c r="F231" s="49" t="s">
        <v>317</v>
      </c>
      <c r="G231" s="91" t="s">
        <v>317</v>
      </c>
      <c r="H231" s="32">
        <v>0</v>
      </c>
      <c r="I231" s="31">
        <v>130</v>
      </c>
      <c r="J231" s="99">
        <v>0</v>
      </c>
      <c r="K231" s="96">
        <v>90</v>
      </c>
      <c r="L231" s="19"/>
    </row>
    <row r="232" spans="1:12" s="1" customFormat="1" ht="15" customHeight="1" thickBot="1" x14ac:dyDescent="0.4">
      <c r="A232" s="46">
        <f t="shared" si="3"/>
        <v>230</v>
      </c>
      <c r="B232" s="87"/>
      <c r="C232" s="48">
        <v>41091893</v>
      </c>
      <c r="D232" s="49" t="s">
        <v>841</v>
      </c>
      <c r="E232" s="49" t="s">
        <v>842</v>
      </c>
      <c r="F232" s="49" t="s">
        <v>317</v>
      </c>
      <c r="G232" s="91" t="s">
        <v>317</v>
      </c>
      <c r="H232" s="32">
        <v>0</v>
      </c>
      <c r="I232" s="31">
        <v>15</v>
      </c>
      <c r="J232" s="99">
        <v>0</v>
      </c>
      <c r="K232" s="96">
        <v>33</v>
      </c>
      <c r="L232" s="19"/>
    </row>
    <row r="233" spans="1:12" s="1" customFormat="1" ht="15" customHeight="1" thickBot="1" x14ac:dyDescent="0.4">
      <c r="A233" s="46">
        <f t="shared" si="3"/>
        <v>231</v>
      </c>
      <c r="B233" s="62">
        <v>12585950</v>
      </c>
      <c r="C233" s="48">
        <v>41044104</v>
      </c>
      <c r="D233" s="49" t="s">
        <v>443</v>
      </c>
      <c r="E233" s="49" t="s">
        <v>444</v>
      </c>
      <c r="F233" s="49" t="s">
        <v>317</v>
      </c>
      <c r="G233" s="91" t="s">
        <v>317</v>
      </c>
      <c r="H233" s="32">
        <v>24</v>
      </c>
      <c r="I233" s="31">
        <v>33</v>
      </c>
      <c r="J233" s="99">
        <v>36</v>
      </c>
      <c r="K233" s="96">
        <v>75</v>
      </c>
      <c r="L233" s="19"/>
    </row>
    <row r="234" spans="1:12" s="1" customFormat="1" ht="15" customHeight="1" thickBot="1" x14ac:dyDescent="0.4">
      <c r="A234" s="46">
        <f t="shared" si="3"/>
        <v>232</v>
      </c>
      <c r="B234" s="47">
        <v>11312020</v>
      </c>
      <c r="C234" s="48">
        <v>41051262</v>
      </c>
      <c r="D234" s="49" t="s">
        <v>445</v>
      </c>
      <c r="E234" s="49" t="s">
        <v>446</v>
      </c>
      <c r="F234" s="49" t="s">
        <v>446</v>
      </c>
      <c r="G234" s="91" t="s">
        <v>33</v>
      </c>
      <c r="H234" s="32">
        <v>77</v>
      </c>
      <c r="I234" s="31">
        <v>90</v>
      </c>
      <c r="J234" s="99">
        <v>107</v>
      </c>
      <c r="K234" s="96">
        <v>138</v>
      </c>
      <c r="L234" s="19"/>
    </row>
    <row r="235" spans="1:12" s="1" customFormat="1" ht="15" customHeight="1" thickBot="1" x14ac:dyDescent="0.4">
      <c r="A235" s="46">
        <f t="shared" si="3"/>
        <v>233</v>
      </c>
      <c r="B235" s="51">
        <v>11031110</v>
      </c>
      <c r="C235" s="48">
        <v>41052847</v>
      </c>
      <c r="D235" s="49" t="s">
        <v>447</v>
      </c>
      <c r="E235" s="49" t="s">
        <v>448</v>
      </c>
      <c r="F235" s="49" t="s">
        <v>449</v>
      </c>
      <c r="G235" s="91" t="s">
        <v>33</v>
      </c>
      <c r="H235" s="32">
        <v>0</v>
      </c>
      <c r="I235" s="31">
        <v>3</v>
      </c>
      <c r="J235" s="99">
        <v>0</v>
      </c>
      <c r="K235" s="96">
        <v>9</v>
      </c>
      <c r="L235" s="19"/>
    </row>
    <row r="236" spans="1:12" s="1" customFormat="1" ht="15" customHeight="1" thickBot="1" x14ac:dyDescent="0.4">
      <c r="A236" s="46">
        <f t="shared" si="3"/>
        <v>234</v>
      </c>
      <c r="B236" s="50">
        <v>12527310</v>
      </c>
      <c r="C236" s="48">
        <v>41051859</v>
      </c>
      <c r="D236" s="49" t="s">
        <v>450</v>
      </c>
      <c r="E236" s="49" t="s">
        <v>451</v>
      </c>
      <c r="F236" s="49" t="s">
        <v>449</v>
      </c>
      <c r="G236" s="91" t="s">
        <v>33</v>
      </c>
      <c r="H236" s="32">
        <v>65</v>
      </c>
      <c r="I236" s="31">
        <v>70</v>
      </c>
      <c r="J236" s="99">
        <v>175</v>
      </c>
      <c r="K236" s="96">
        <v>130</v>
      </c>
      <c r="L236" s="19"/>
    </row>
    <row r="237" spans="1:12" s="1" customFormat="1" ht="15" customHeight="1" thickBot="1" x14ac:dyDescent="0.4">
      <c r="A237" s="46">
        <f t="shared" si="3"/>
        <v>235</v>
      </c>
      <c r="B237" s="54">
        <v>12556410</v>
      </c>
      <c r="C237" s="48">
        <v>41048430</v>
      </c>
      <c r="D237" s="49" t="s">
        <v>452</v>
      </c>
      <c r="E237" s="49" t="s">
        <v>453</v>
      </c>
      <c r="F237" s="49" t="s">
        <v>449</v>
      </c>
      <c r="G237" s="91" t="s">
        <v>33</v>
      </c>
      <c r="H237" s="32">
        <v>38</v>
      </c>
      <c r="I237" s="31">
        <v>36</v>
      </c>
      <c r="J237" s="99">
        <v>114</v>
      </c>
      <c r="K237" s="96">
        <v>72</v>
      </c>
      <c r="L237" s="19"/>
    </row>
    <row r="238" spans="1:12" s="1" customFormat="1" ht="15" customHeight="1" thickBot="1" x14ac:dyDescent="0.4">
      <c r="A238" s="46">
        <f t="shared" si="3"/>
        <v>236</v>
      </c>
      <c r="B238" s="54">
        <v>12551590</v>
      </c>
      <c r="C238" s="48">
        <v>41049332</v>
      </c>
      <c r="D238" s="49" t="s">
        <v>454</v>
      </c>
      <c r="E238" s="49" t="s">
        <v>449</v>
      </c>
      <c r="F238" s="49" t="s">
        <v>449</v>
      </c>
      <c r="G238" s="91" t="s">
        <v>33</v>
      </c>
      <c r="H238" s="32">
        <v>69</v>
      </c>
      <c r="I238" s="31">
        <v>54</v>
      </c>
      <c r="J238" s="99">
        <v>76</v>
      </c>
      <c r="K238" s="96">
        <v>79</v>
      </c>
      <c r="L238" s="19"/>
    </row>
    <row r="239" spans="1:12" s="1" customFormat="1" ht="15" customHeight="1" thickBot="1" x14ac:dyDescent="0.4">
      <c r="A239" s="46">
        <f t="shared" si="3"/>
        <v>237</v>
      </c>
      <c r="B239" s="51">
        <v>12595930</v>
      </c>
      <c r="C239" s="48">
        <v>41039727</v>
      </c>
      <c r="D239" s="49" t="s">
        <v>455</v>
      </c>
      <c r="E239" s="49" t="s">
        <v>456</v>
      </c>
      <c r="F239" s="49" t="s">
        <v>449</v>
      </c>
      <c r="G239" s="91" t="s">
        <v>33</v>
      </c>
      <c r="H239" s="32">
        <v>0</v>
      </c>
      <c r="I239" s="31">
        <v>0</v>
      </c>
      <c r="J239" s="99">
        <v>0</v>
      </c>
      <c r="K239" s="96">
        <v>0</v>
      </c>
      <c r="L239" s="19"/>
    </row>
    <row r="240" spans="1:12" s="1" customFormat="1" ht="15" customHeight="1" thickBot="1" x14ac:dyDescent="0.4">
      <c r="A240" s="46">
        <f t="shared" si="3"/>
        <v>238</v>
      </c>
      <c r="B240" s="50">
        <v>12558840</v>
      </c>
      <c r="C240" s="48">
        <v>41048003</v>
      </c>
      <c r="D240" s="49" t="s">
        <v>457</v>
      </c>
      <c r="E240" s="49" t="s">
        <v>458</v>
      </c>
      <c r="F240" s="49" t="s">
        <v>33</v>
      </c>
      <c r="G240" s="91" t="s">
        <v>33</v>
      </c>
      <c r="H240" s="32">
        <v>74</v>
      </c>
      <c r="I240" s="31">
        <v>60</v>
      </c>
      <c r="J240" s="99">
        <v>130</v>
      </c>
      <c r="K240" s="96">
        <v>144</v>
      </c>
      <c r="L240" s="19"/>
    </row>
    <row r="241" spans="1:12" s="1" customFormat="1" ht="15" customHeight="1" thickBot="1" x14ac:dyDescent="0.4">
      <c r="A241" s="46">
        <f t="shared" si="3"/>
        <v>239</v>
      </c>
      <c r="B241" s="51">
        <v>12249800</v>
      </c>
      <c r="C241" s="48">
        <v>41055216</v>
      </c>
      <c r="D241" s="49" t="s">
        <v>459</v>
      </c>
      <c r="E241" s="49" t="s">
        <v>460</v>
      </c>
      <c r="F241" s="49" t="s">
        <v>460</v>
      </c>
      <c r="G241" s="91" t="s">
        <v>33</v>
      </c>
      <c r="H241" s="32">
        <v>6</v>
      </c>
      <c r="I241" s="31">
        <v>6</v>
      </c>
      <c r="J241" s="99">
        <v>6</v>
      </c>
      <c r="K241" s="96">
        <v>6</v>
      </c>
      <c r="L241" s="19"/>
    </row>
    <row r="242" spans="1:12" s="1" customFormat="1" ht="15" customHeight="1" thickBot="1" x14ac:dyDescent="0.4">
      <c r="A242" s="46">
        <f t="shared" si="3"/>
        <v>240</v>
      </c>
      <c r="B242" s="47">
        <v>11639200</v>
      </c>
      <c r="C242" s="48">
        <v>41048431</v>
      </c>
      <c r="D242" s="49" t="s">
        <v>461</v>
      </c>
      <c r="E242" s="49" t="s">
        <v>462</v>
      </c>
      <c r="F242" s="49" t="s">
        <v>460</v>
      </c>
      <c r="G242" s="91" t="s">
        <v>33</v>
      </c>
      <c r="H242" s="32">
        <v>55</v>
      </c>
      <c r="I242" s="31">
        <v>65</v>
      </c>
      <c r="J242" s="99">
        <v>125</v>
      </c>
      <c r="K242" s="96">
        <v>155</v>
      </c>
      <c r="L242" s="19"/>
    </row>
    <row r="243" spans="1:12" s="1" customFormat="1" ht="15" customHeight="1" thickBot="1" x14ac:dyDescent="0.4">
      <c r="A243" s="46">
        <f t="shared" si="3"/>
        <v>241</v>
      </c>
      <c r="B243" s="47">
        <v>12521580</v>
      </c>
      <c r="C243" s="48">
        <v>41052800</v>
      </c>
      <c r="D243" s="49" t="s">
        <v>463</v>
      </c>
      <c r="E243" s="49" t="s">
        <v>460</v>
      </c>
      <c r="F243" s="49" t="s">
        <v>460</v>
      </c>
      <c r="G243" s="91" t="s">
        <v>33</v>
      </c>
      <c r="H243" s="32">
        <v>57</v>
      </c>
      <c r="I243" s="31">
        <v>61</v>
      </c>
      <c r="J243" s="99">
        <v>75</v>
      </c>
      <c r="K243" s="96">
        <v>81</v>
      </c>
      <c r="L243" s="19"/>
    </row>
    <row r="244" spans="1:12" s="1" customFormat="1" ht="15" customHeight="1" thickBot="1" x14ac:dyDescent="0.4">
      <c r="A244" s="46">
        <f t="shared" si="3"/>
        <v>242</v>
      </c>
      <c r="B244" s="50">
        <v>12527390</v>
      </c>
      <c r="C244" s="48">
        <v>41051877</v>
      </c>
      <c r="D244" s="49" t="s">
        <v>464</v>
      </c>
      <c r="E244" s="49" t="s">
        <v>465</v>
      </c>
      <c r="F244" s="49" t="s">
        <v>460</v>
      </c>
      <c r="G244" s="91" t="s">
        <v>33</v>
      </c>
      <c r="H244" s="32">
        <v>47</v>
      </c>
      <c r="I244" s="31">
        <v>49</v>
      </c>
      <c r="J244" s="99">
        <v>105</v>
      </c>
      <c r="K244" s="96">
        <v>123</v>
      </c>
      <c r="L244" s="19"/>
    </row>
    <row r="245" spans="1:12" s="1" customFormat="1" ht="15" customHeight="1" thickBot="1" x14ac:dyDescent="0.4">
      <c r="A245" s="46">
        <f t="shared" si="3"/>
        <v>243</v>
      </c>
      <c r="B245" s="54">
        <v>12549590</v>
      </c>
      <c r="C245" s="48">
        <v>41049847</v>
      </c>
      <c r="D245" s="49" t="s">
        <v>466</v>
      </c>
      <c r="E245" s="49" t="s">
        <v>460</v>
      </c>
      <c r="F245" s="49" t="s">
        <v>460</v>
      </c>
      <c r="G245" s="91" t="s">
        <v>33</v>
      </c>
      <c r="H245" s="32">
        <v>25</v>
      </c>
      <c r="I245" s="31">
        <v>22</v>
      </c>
      <c r="J245" s="99">
        <v>43</v>
      </c>
      <c r="K245" s="96">
        <v>38</v>
      </c>
      <c r="L245" s="19"/>
    </row>
    <row r="246" spans="1:12" s="1" customFormat="1" ht="15" customHeight="1" thickBot="1" x14ac:dyDescent="0.4">
      <c r="A246" s="46">
        <f t="shared" si="3"/>
        <v>244</v>
      </c>
      <c r="B246" s="54">
        <v>12549600</v>
      </c>
      <c r="C246" s="48">
        <v>41049848</v>
      </c>
      <c r="D246" s="49" t="s">
        <v>467</v>
      </c>
      <c r="E246" s="49" t="s">
        <v>468</v>
      </c>
      <c r="F246" s="49" t="s">
        <v>460</v>
      </c>
      <c r="G246" s="91" t="s">
        <v>33</v>
      </c>
      <c r="H246" s="32">
        <v>29</v>
      </c>
      <c r="I246" s="31">
        <v>33</v>
      </c>
      <c r="J246" s="99">
        <v>39</v>
      </c>
      <c r="K246" s="96">
        <v>39</v>
      </c>
      <c r="L246" s="19"/>
    </row>
    <row r="247" spans="1:12" s="1" customFormat="1" ht="15" customHeight="1" thickBot="1" x14ac:dyDescent="0.4">
      <c r="A247" s="46">
        <f t="shared" si="3"/>
        <v>245</v>
      </c>
      <c r="B247" s="54">
        <v>12550170</v>
      </c>
      <c r="C247" s="48">
        <v>41049167</v>
      </c>
      <c r="D247" s="49" t="s">
        <v>469</v>
      </c>
      <c r="E247" s="49" t="s">
        <v>371</v>
      </c>
      <c r="F247" s="49" t="s">
        <v>460</v>
      </c>
      <c r="G247" s="91" t="s">
        <v>33</v>
      </c>
      <c r="H247" s="32">
        <v>32</v>
      </c>
      <c r="I247" s="31">
        <v>41</v>
      </c>
      <c r="J247" s="99">
        <v>64</v>
      </c>
      <c r="K247" s="96">
        <v>57</v>
      </c>
      <c r="L247" s="19"/>
    </row>
    <row r="248" spans="1:12" s="1" customFormat="1" ht="15" customHeight="1" thickBot="1" x14ac:dyDescent="0.4">
      <c r="A248" s="46">
        <f t="shared" si="3"/>
        <v>246</v>
      </c>
      <c r="B248" s="54">
        <v>12554500</v>
      </c>
      <c r="C248" s="48">
        <v>41048948</v>
      </c>
      <c r="D248" s="49" t="s">
        <v>470</v>
      </c>
      <c r="E248" s="49" t="s">
        <v>460</v>
      </c>
      <c r="F248" s="49" t="s">
        <v>460</v>
      </c>
      <c r="G248" s="91" t="s">
        <v>33</v>
      </c>
      <c r="H248" s="32">
        <v>34</v>
      </c>
      <c r="I248" s="31">
        <v>43</v>
      </c>
      <c r="J248" s="99">
        <v>50</v>
      </c>
      <c r="K248" s="96">
        <v>73</v>
      </c>
      <c r="L248" s="19"/>
    </row>
    <row r="249" spans="1:12" s="1" customFormat="1" ht="15" customHeight="1" thickBot="1" x14ac:dyDescent="0.4">
      <c r="A249" s="46">
        <f t="shared" si="3"/>
        <v>247</v>
      </c>
      <c r="B249" s="47">
        <v>11005430</v>
      </c>
      <c r="C249" s="48">
        <v>41053804</v>
      </c>
      <c r="D249" s="49" t="s">
        <v>471</v>
      </c>
      <c r="E249" s="49" t="s">
        <v>472</v>
      </c>
      <c r="F249" s="49" t="s">
        <v>446</v>
      </c>
      <c r="G249" s="91" t="s">
        <v>33</v>
      </c>
      <c r="H249" s="32">
        <v>16</v>
      </c>
      <c r="I249" s="31">
        <v>16</v>
      </c>
      <c r="J249" s="99">
        <v>208</v>
      </c>
      <c r="K249" s="96">
        <v>152</v>
      </c>
      <c r="L249" s="19"/>
    </row>
    <row r="250" spans="1:12" s="1" customFormat="1" ht="15" customHeight="1" thickBot="1" x14ac:dyDescent="0.4">
      <c r="A250" s="46">
        <f t="shared" si="3"/>
        <v>248</v>
      </c>
      <c r="B250" s="47">
        <v>12249600</v>
      </c>
      <c r="C250" s="48">
        <v>41055214</v>
      </c>
      <c r="D250" s="49" t="s">
        <v>473</v>
      </c>
      <c r="E250" s="49" t="s">
        <v>474</v>
      </c>
      <c r="F250" s="49" t="s">
        <v>446</v>
      </c>
      <c r="G250" s="91" t="s">
        <v>33</v>
      </c>
      <c r="H250" s="32">
        <v>36</v>
      </c>
      <c r="I250" s="31">
        <v>32</v>
      </c>
      <c r="J250" s="99">
        <v>108</v>
      </c>
      <c r="K250" s="96">
        <v>88</v>
      </c>
      <c r="L250" s="19"/>
    </row>
    <row r="251" spans="1:12" s="1" customFormat="1" ht="15" customHeight="1" thickBot="1" x14ac:dyDescent="0.4">
      <c r="A251" s="46">
        <f t="shared" si="3"/>
        <v>249</v>
      </c>
      <c r="B251" s="50">
        <v>12514290</v>
      </c>
      <c r="C251" s="48">
        <v>41053593</v>
      </c>
      <c r="D251" s="49" t="s">
        <v>475</v>
      </c>
      <c r="E251" s="49" t="s">
        <v>476</v>
      </c>
      <c r="F251" s="49" t="s">
        <v>446</v>
      </c>
      <c r="G251" s="91" t="s">
        <v>33</v>
      </c>
      <c r="H251" s="32">
        <v>0</v>
      </c>
      <c r="I251" s="31">
        <v>0</v>
      </c>
      <c r="J251" s="99">
        <v>0</v>
      </c>
      <c r="K251" s="96">
        <v>0</v>
      </c>
      <c r="L251" s="19"/>
    </row>
    <row r="252" spans="1:12" s="1" customFormat="1" ht="15" customHeight="1" thickBot="1" x14ac:dyDescent="0.4">
      <c r="A252" s="46">
        <f t="shared" si="3"/>
        <v>250</v>
      </c>
      <c r="B252" s="50">
        <v>12513090</v>
      </c>
      <c r="C252" s="48">
        <v>41053493</v>
      </c>
      <c r="D252" s="49" t="s">
        <v>477</v>
      </c>
      <c r="E252" s="49" t="s">
        <v>472</v>
      </c>
      <c r="F252" s="49" t="s">
        <v>446</v>
      </c>
      <c r="G252" s="91" t="s">
        <v>33</v>
      </c>
      <c r="H252" s="32">
        <v>83</v>
      </c>
      <c r="I252" s="31">
        <v>75</v>
      </c>
      <c r="J252" s="99">
        <v>170</v>
      </c>
      <c r="K252" s="96">
        <v>178</v>
      </c>
      <c r="L252" s="19"/>
    </row>
    <row r="253" spans="1:12" s="1" customFormat="1" ht="15" customHeight="1" thickBot="1" x14ac:dyDescent="0.4">
      <c r="A253" s="46">
        <f t="shared" si="3"/>
        <v>251</v>
      </c>
      <c r="B253" s="50">
        <v>12527870</v>
      </c>
      <c r="C253" s="48">
        <v>41051939</v>
      </c>
      <c r="D253" s="49" t="s">
        <v>478</v>
      </c>
      <c r="E253" s="49" t="s">
        <v>479</v>
      </c>
      <c r="F253" s="49" t="s">
        <v>446</v>
      </c>
      <c r="G253" s="91" t="s">
        <v>33</v>
      </c>
      <c r="H253" s="32">
        <v>53.5</v>
      </c>
      <c r="I253" s="31">
        <v>50</v>
      </c>
      <c r="J253" s="99">
        <v>172.5</v>
      </c>
      <c r="K253" s="96">
        <v>170</v>
      </c>
      <c r="L253" s="19"/>
    </row>
    <row r="254" spans="1:12" s="1" customFormat="1" ht="15" customHeight="1" thickBot="1" x14ac:dyDescent="0.4">
      <c r="A254" s="46">
        <f t="shared" si="3"/>
        <v>252</v>
      </c>
      <c r="B254" s="50">
        <v>12529200</v>
      </c>
      <c r="C254" s="48">
        <v>41052126</v>
      </c>
      <c r="D254" s="49" t="s">
        <v>480</v>
      </c>
      <c r="E254" s="49" t="s">
        <v>481</v>
      </c>
      <c r="F254" s="49" t="s">
        <v>446</v>
      </c>
      <c r="G254" s="91" t="s">
        <v>33</v>
      </c>
      <c r="H254" s="32">
        <v>67</v>
      </c>
      <c r="I254" s="31">
        <v>71</v>
      </c>
      <c r="J254" s="99">
        <v>85</v>
      </c>
      <c r="K254" s="96">
        <v>100</v>
      </c>
      <c r="L254" s="19"/>
    </row>
    <row r="255" spans="1:12" s="1" customFormat="1" ht="15" customHeight="1" thickBot="1" x14ac:dyDescent="0.4">
      <c r="A255" s="46">
        <f t="shared" si="3"/>
        <v>253</v>
      </c>
      <c r="B255" s="54">
        <v>12538650</v>
      </c>
      <c r="C255" s="48">
        <v>41050901</v>
      </c>
      <c r="D255" s="49" t="s">
        <v>482</v>
      </c>
      <c r="E255" s="49" t="s">
        <v>483</v>
      </c>
      <c r="F255" s="49" t="s">
        <v>446</v>
      </c>
      <c r="G255" s="91" t="s">
        <v>33</v>
      </c>
      <c r="H255" s="32">
        <v>35</v>
      </c>
      <c r="I255" s="31">
        <v>32</v>
      </c>
      <c r="J255" s="99">
        <v>63</v>
      </c>
      <c r="K255" s="96">
        <v>66</v>
      </c>
      <c r="L255" s="19"/>
    </row>
    <row r="256" spans="1:12" s="1" customFormat="1" ht="15" customHeight="1" thickBot="1" x14ac:dyDescent="0.4">
      <c r="A256" s="46">
        <f t="shared" si="3"/>
        <v>254</v>
      </c>
      <c r="B256" s="47"/>
      <c r="C256" s="48">
        <v>41088598</v>
      </c>
      <c r="D256" s="49" t="s">
        <v>484</v>
      </c>
      <c r="E256" s="49" t="s">
        <v>485</v>
      </c>
      <c r="F256" s="49" t="s">
        <v>446</v>
      </c>
      <c r="G256" s="91" t="s">
        <v>33</v>
      </c>
      <c r="H256" s="32">
        <v>0</v>
      </c>
      <c r="I256" s="31">
        <v>26</v>
      </c>
      <c r="J256" s="99">
        <v>0</v>
      </c>
      <c r="K256" s="96">
        <v>36</v>
      </c>
      <c r="L256" s="19"/>
    </row>
    <row r="257" spans="1:12" s="1" customFormat="1" ht="15" customHeight="1" thickBot="1" x14ac:dyDescent="0.4">
      <c r="A257" s="46">
        <f t="shared" si="3"/>
        <v>255</v>
      </c>
      <c r="B257" s="47">
        <v>12596030</v>
      </c>
      <c r="C257" s="48">
        <v>41037559</v>
      </c>
      <c r="D257" s="49" t="s">
        <v>486</v>
      </c>
      <c r="E257" s="49" t="s">
        <v>487</v>
      </c>
      <c r="F257" s="49" t="s">
        <v>446</v>
      </c>
      <c r="G257" s="91" t="s">
        <v>33</v>
      </c>
      <c r="H257" s="32">
        <v>60</v>
      </c>
      <c r="I257" s="31">
        <v>60</v>
      </c>
      <c r="J257" s="99">
        <v>96</v>
      </c>
      <c r="K257" s="96">
        <v>116</v>
      </c>
      <c r="L257" s="19"/>
    </row>
    <row r="258" spans="1:12" s="1" customFormat="1" ht="15" customHeight="1" thickBot="1" x14ac:dyDescent="0.4">
      <c r="A258" s="46">
        <f t="shared" si="3"/>
        <v>256</v>
      </c>
      <c r="B258" s="47">
        <v>12582510</v>
      </c>
      <c r="C258" s="48">
        <v>41058498</v>
      </c>
      <c r="D258" s="49" t="s">
        <v>488</v>
      </c>
      <c r="E258" s="49" t="s">
        <v>489</v>
      </c>
      <c r="F258" s="49" t="s">
        <v>446</v>
      </c>
      <c r="G258" s="91" t="s">
        <v>33</v>
      </c>
      <c r="H258" s="32">
        <v>12</v>
      </c>
      <c r="I258" s="31">
        <v>17</v>
      </c>
      <c r="J258" s="99">
        <v>36</v>
      </c>
      <c r="K258" s="96">
        <v>43</v>
      </c>
      <c r="L258" s="19"/>
    </row>
    <row r="259" spans="1:12" s="1" customFormat="1" ht="15" customHeight="1" thickBot="1" x14ac:dyDescent="0.4">
      <c r="A259" s="46">
        <f t="shared" si="3"/>
        <v>257</v>
      </c>
      <c r="B259" s="50">
        <v>12556450</v>
      </c>
      <c r="C259" s="48">
        <v>41048437</v>
      </c>
      <c r="D259" s="49" t="s">
        <v>490</v>
      </c>
      <c r="E259" s="49" t="s">
        <v>491</v>
      </c>
      <c r="F259" s="49" t="s">
        <v>460</v>
      </c>
      <c r="G259" s="91" t="s">
        <v>33</v>
      </c>
      <c r="H259" s="32">
        <v>27.5</v>
      </c>
      <c r="I259" s="31">
        <v>38</v>
      </c>
      <c r="J259" s="99">
        <v>70.5</v>
      </c>
      <c r="K259" s="96">
        <v>94</v>
      </c>
      <c r="L259" s="19"/>
    </row>
    <row r="260" spans="1:12" s="1" customFormat="1" ht="15" customHeight="1" thickBot="1" x14ac:dyDescent="0.4">
      <c r="A260" s="46">
        <f t="shared" ref="A260:A323" si="4">+A259+1</f>
        <v>258</v>
      </c>
      <c r="B260" s="56">
        <v>12556500</v>
      </c>
      <c r="C260" s="48">
        <v>41048444</v>
      </c>
      <c r="D260" s="49" t="s">
        <v>492</v>
      </c>
      <c r="E260" s="49" t="s">
        <v>493</v>
      </c>
      <c r="F260" s="49" t="s">
        <v>460</v>
      </c>
      <c r="G260" s="91" t="s">
        <v>33</v>
      </c>
      <c r="H260" s="32">
        <v>54</v>
      </c>
      <c r="I260" s="31">
        <v>60</v>
      </c>
      <c r="J260" s="99">
        <v>122</v>
      </c>
      <c r="K260" s="96">
        <v>110</v>
      </c>
      <c r="L260" s="19"/>
    </row>
    <row r="261" spans="1:12" s="1" customFormat="1" ht="15" customHeight="1" thickBot="1" x14ac:dyDescent="0.4">
      <c r="A261" s="46">
        <f t="shared" si="4"/>
        <v>259</v>
      </c>
      <c r="B261" s="56">
        <v>12579090</v>
      </c>
      <c r="C261" s="48">
        <v>41043312</v>
      </c>
      <c r="D261" s="49" t="s">
        <v>494</v>
      </c>
      <c r="E261" s="49" t="s">
        <v>495</v>
      </c>
      <c r="F261" s="49" t="s">
        <v>446</v>
      </c>
      <c r="G261" s="91" t="s">
        <v>33</v>
      </c>
      <c r="H261" s="32">
        <v>45</v>
      </c>
      <c r="I261" s="31">
        <v>39</v>
      </c>
      <c r="J261" s="99">
        <v>75</v>
      </c>
      <c r="K261" s="96">
        <v>61</v>
      </c>
      <c r="L261" s="19"/>
    </row>
    <row r="262" spans="1:12" s="1" customFormat="1" ht="15" customHeight="1" thickBot="1" x14ac:dyDescent="0.4">
      <c r="A262" s="46">
        <f t="shared" si="4"/>
        <v>260</v>
      </c>
      <c r="B262" s="56">
        <v>12585880</v>
      </c>
      <c r="C262" s="48">
        <v>41044084</v>
      </c>
      <c r="D262" s="49" t="s">
        <v>496</v>
      </c>
      <c r="E262" s="49" t="s">
        <v>497</v>
      </c>
      <c r="F262" s="49" t="s">
        <v>460</v>
      </c>
      <c r="G262" s="91" t="s">
        <v>33</v>
      </c>
      <c r="H262" s="32">
        <v>34</v>
      </c>
      <c r="I262" s="31">
        <v>39</v>
      </c>
      <c r="J262" s="99">
        <v>62</v>
      </c>
      <c r="K262" s="96">
        <v>69</v>
      </c>
      <c r="L262" s="19"/>
    </row>
    <row r="263" spans="1:12" s="1" customFormat="1" ht="15" customHeight="1" thickBot="1" x14ac:dyDescent="0.4">
      <c r="A263" s="46">
        <f t="shared" si="4"/>
        <v>261</v>
      </c>
      <c r="B263" s="56">
        <v>12587610</v>
      </c>
      <c r="C263" s="48">
        <v>41042673</v>
      </c>
      <c r="D263" s="49" t="s">
        <v>498</v>
      </c>
      <c r="E263" s="49" t="s">
        <v>499</v>
      </c>
      <c r="F263" s="49" t="s">
        <v>449</v>
      </c>
      <c r="G263" s="91" t="s">
        <v>33</v>
      </c>
      <c r="H263" s="32">
        <v>21</v>
      </c>
      <c r="I263" s="31">
        <v>24</v>
      </c>
      <c r="J263" s="99">
        <v>133</v>
      </c>
      <c r="K263" s="96">
        <v>102</v>
      </c>
      <c r="L263" s="19"/>
    </row>
    <row r="264" spans="1:12" s="1" customFormat="1" ht="15" customHeight="1" thickBot="1" x14ac:dyDescent="0.4">
      <c r="A264" s="46">
        <f t="shared" si="4"/>
        <v>262</v>
      </c>
      <c r="B264" s="62"/>
      <c r="C264" s="48">
        <v>41069730</v>
      </c>
      <c r="D264" s="49" t="s">
        <v>500</v>
      </c>
      <c r="E264" s="57" t="s">
        <v>446</v>
      </c>
      <c r="F264" s="49" t="s">
        <v>33</v>
      </c>
      <c r="G264" s="91" t="s">
        <v>33</v>
      </c>
      <c r="H264" s="32">
        <v>0</v>
      </c>
      <c r="I264" s="31">
        <v>30</v>
      </c>
      <c r="J264" s="99">
        <v>0</v>
      </c>
      <c r="K264" s="96">
        <v>66</v>
      </c>
      <c r="L264" s="19"/>
    </row>
    <row r="265" spans="1:12" s="1" customFormat="1" ht="15" thickBot="1" x14ac:dyDescent="0.4">
      <c r="A265" s="46">
        <f t="shared" si="4"/>
        <v>263</v>
      </c>
      <c r="B265" s="56"/>
      <c r="C265" s="48">
        <v>41071671</v>
      </c>
      <c r="D265" s="49" t="s">
        <v>501</v>
      </c>
      <c r="E265" s="57" t="s">
        <v>502</v>
      </c>
      <c r="F265" s="49" t="s">
        <v>449</v>
      </c>
      <c r="G265" s="91" t="s">
        <v>33</v>
      </c>
      <c r="H265" s="32">
        <v>28</v>
      </c>
      <c r="I265" s="31">
        <v>32</v>
      </c>
      <c r="J265" s="99">
        <v>64</v>
      </c>
      <c r="K265" s="96">
        <v>158</v>
      </c>
      <c r="L265" s="19"/>
    </row>
    <row r="266" spans="1:12" s="1" customFormat="1" ht="15" thickBot="1" x14ac:dyDescent="0.4">
      <c r="A266" s="46">
        <f t="shared" si="4"/>
        <v>264</v>
      </c>
      <c r="B266" s="56"/>
      <c r="C266" s="48">
        <v>41079032</v>
      </c>
      <c r="D266" s="49" t="s">
        <v>503</v>
      </c>
      <c r="E266" s="57" t="s">
        <v>504</v>
      </c>
      <c r="F266" s="49" t="s">
        <v>449</v>
      </c>
      <c r="G266" s="91" t="s">
        <v>33</v>
      </c>
      <c r="H266" s="32">
        <v>0</v>
      </c>
      <c r="I266" s="31">
        <v>31</v>
      </c>
      <c r="J266" s="99">
        <v>0</v>
      </c>
      <c r="K266" s="96">
        <v>113</v>
      </c>
      <c r="L266" s="19"/>
    </row>
    <row r="267" spans="1:12" s="1" customFormat="1" ht="15" thickBot="1" x14ac:dyDescent="0.4">
      <c r="A267" s="46">
        <f t="shared" si="4"/>
        <v>265</v>
      </c>
      <c r="B267" s="56"/>
      <c r="C267" s="48">
        <v>41086992</v>
      </c>
      <c r="D267" s="49" t="s">
        <v>505</v>
      </c>
      <c r="E267" s="57" t="s">
        <v>506</v>
      </c>
      <c r="F267" s="49" t="s">
        <v>460</v>
      </c>
      <c r="G267" s="91" t="s">
        <v>33</v>
      </c>
      <c r="H267" s="32">
        <v>0</v>
      </c>
      <c r="I267" s="31">
        <v>37</v>
      </c>
      <c r="J267" s="99">
        <v>0</v>
      </c>
      <c r="K267" s="96">
        <v>109</v>
      </c>
      <c r="L267" s="19"/>
    </row>
    <row r="268" spans="1:12" s="1" customFormat="1" ht="15" thickBot="1" x14ac:dyDescent="0.4">
      <c r="A268" s="46">
        <f t="shared" si="4"/>
        <v>266</v>
      </c>
      <c r="B268" s="56"/>
      <c r="C268" s="48">
        <v>41089998</v>
      </c>
      <c r="D268" s="49" t="s">
        <v>507</v>
      </c>
      <c r="E268" s="57" t="s">
        <v>508</v>
      </c>
      <c r="F268" s="49" t="s">
        <v>446</v>
      </c>
      <c r="G268" s="91" t="s">
        <v>33</v>
      </c>
      <c r="H268" s="32">
        <v>0</v>
      </c>
      <c r="I268" s="31">
        <v>0</v>
      </c>
      <c r="J268" s="99">
        <v>0</v>
      </c>
      <c r="K268" s="96">
        <v>0</v>
      </c>
      <c r="L268" s="19"/>
    </row>
    <row r="269" spans="1:12" s="1" customFormat="1" ht="15" customHeight="1" thickBot="1" x14ac:dyDescent="0.4">
      <c r="A269" s="46">
        <f t="shared" si="4"/>
        <v>267</v>
      </c>
      <c r="B269" s="56"/>
      <c r="C269" s="56">
        <v>41091244</v>
      </c>
      <c r="D269" s="49" t="s">
        <v>843</v>
      </c>
      <c r="E269" s="57" t="s">
        <v>161</v>
      </c>
      <c r="F269" s="49" t="s">
        <v>460</v>
      </c>
      <c r="G269" s="91" t="s">
        <v>33</v>
      </c>
      <c r="H269" s="32">
        <v>0</v>
      </c>
      <c r="I269" s="31">
        <v>0</v>
      </c>
      <c r="J269" s="99">
        <v>0</v>
      </c>
      <c r="K269" s="96">
        <v>0</v>
      </c>
      <c r="L269" s="19"/>
    </row>
    <row r="270" spans="1:12" s="1" customFormat="1" ht="15" customHeight="1" thickBot="1" x14ac:dyDescent="0.4">
      <c r="A270" s="46">
        <f t="shared" si="4"/>
        <v>268</v>
      </c>
      <c r="B270" s="68"/>
      <c r="C270" s="56">
        <v>41092247</v>
      </c>
      <c r="D270" s="49" t="s">
        <v>844</v>
      </c>
      <c r="E270" s="57" t="s">
        <v>845</v>
      </c>
      <c r="F270" s="49" t="s">
        <v>446</v>
      </c>
      <c r="G270" s="91" t="s">
        <v>33</v>
      </c>
      <c r="H270" s="32">
        <v>0</v>
      </c>
      <c r="I270" s="31">
        <v>3</v>
      </c>
      <c r="J270" s="99">
        <v>0</v>
      </c>
      <c r="K270" s="96">
        <v>9</v>
      </c>
      <c r="L270" s="19"/>
    </row>
    <row r="271" spans="1:12" s="1" customFormat="1" ht="15" customHeight="1" thickBot="1" x14ac:dyDescent="0.4">
      <c r="A271" s="46">
        <f t="shared" si="4"/>
        <v>269</v>
      </c>
      <c r="B271" s="87"/>
      <c r="C271" s="56">
        <v>41092069</v>
      </c>
      <c r="D271" s="49" t="s">
        <v>858</v>
      </c>
      <c r="E271" s="57" t="s">
        <v>859</v>
      </c>
      <c r="F271" s="49" t="s">
        <v>446</v>
      </c>
      <c r="G271" s="91" t="s">
        <v>33</v>
      </c>
      <c r="H271" s="32">
        <v>0</v>
      </c>
      <c r="I271" s="31">
        <v>18</v>
      </c>
      <c r="J271" s="99">
        <v>0</v>
      </c>
      <c r="K271" s="96">
        <v>30</v>
      </c>
      <c r="L271" s="19"/>
    </row>
    <row r="272" spans="1:12" s="1" customFormat="1" ht="15" customHeight="1" thickBot="1" x14ac:dyDescent="0.4">
      <c r="A272" s="46">
        <f t="shared" si="4"/>
        <v>270</v>
      </c>
      <c r="B272" s="69">
        <v>11640400</v>
      </c>
      <c r="C272" s="48">
        <v>49916741</v>
      </c>
      <c r="D272" s="49" t="s">
        <v>509</v>
      </c>
      <c r="E272" s="49" t="s">
        <v>510</v>
      </c>
      <c r="F272" s="49" t="s">
        <v>446</v>
      </c>
      <c r="G272" s="91" t="s">
        <v>33</v>
      </c>
      <c r="H272" s="32">
        <v>0</v>
      </c>
      <c r="I272" s="31">
        <v>0</v>
      </c>
      <c r="J272" s="99">
        <v>0</v>
      </c>
      <c r="K272" s="96">
        <v>0</v>
      </c>
      <c r="L272" s="19"/>
    </row>
    <row r="273" spans="1:12" s="1" customFormat="1" ht="15" customHeight="1" thickBot="1" x14ac:dyDescent="0.4">
      <c r="A273" s="46">
        <f t="shared" si="4"/>
        <v>271</v>
      </c>
      <c r="B273" s="47"/>
      <c r="C273" s="48">
        <v>41076730</v>
      </c>
      <c r="D273" s="49" t="s">
        <v>511</v>
      </c>
      <c r="E273" s="49" t="s">
        <v>321</v>
      </c>
      <c r="F273" s="49" t="s">
        <v>317</v>
      </c>
      <c r="G273" s="91" t="s">
        <v>317</v>
      </c>
      <c r="H273" s="32">
        <v>270.5</v>
      </c>
      <c r="I273" s="31">
        <v>248</v>
      </c>
      <c r="J273" s="99">
        <v>642.5</v>
      </c>
      <c r="K273" s="96">
        <v>527</v>
      </c>
      <c r="L273" s="19"/>
    </row>
    <row r="274" spans="1:12" s="1" customFormat="1" ht="15" customHeight="1" thickBot="1" x14ac:dyDescent="0.4">
      <c r="A274" s="46">
        <f t="shared" si="4"/>
        <v>272</v>
      </c>
      <c r="B274" s="47">
        <v>12249400</v>
      </c>
      <c r="C274" s="48">
        <v>41055212</v>
      </c>
      <c r="D274" s="49" t="s">
        <v>512</v>
      </c>
      <c r="E274" s="49" t="s">
        <v>513</v>
      </c>
      <c r="F274" s="49" t="s">
        <v>514</v>
      </c>
      <c r="G274" s="91" t="s">
        <v>317</v>
      </c>
      <c r="H274" s="32">
        <v>16</v>
      </c>
      <c r="I274" s="31">
        <v>18</v>
      </c>
      <c r="J274" s="99">
        <v>44</v>
      </c>
      <c r="K274" s="96">
        <v>54</v>
      </c>
      <c r="L274" s="19"/>
    </row>
    <row r="275" spans="1:12" s="1" customFormat="1" ht="15" customHeight="1" thickBot="1" x14ac:dyDescent="0.4">
      <c r="A275" s="46">
        <f t="shared" si="4"/>
        <v>273</v>
      </c>
      <c r="B275" s="47">
        <v>12514280</v>
      </c>
      <c r="C275" s="48">
        <v>41053592</v>
      </c>
      <c r="D275" s="49" t="s">
        <v>515</v>
      </c>
      <c r="E275" s="49" t="s">
        <v>516</v>
      </c>
      <c r="F275" s="49" t="s">
        <v>514</v>
      </c>
      <c r="G275" s="91" t="s">
        <v>317</v>
      </c>
      <c r="H275" s="32">
        <v>14</v>
      </c>
      <c r="I275" s="31">
        <v>15.5</v>
      </c>
      <c r="J275" s="99">
        <v>126</v>
      </c>
      <c r="K275" s="96">
        <v>86.5</v>
      </c>
      <c r="L275" s="19"/>
    </row>
    <row r="276" spans="1:12" s="1" customFormat="1" ht="15" customHeight="1" thickBot="1" x14ac:dyDescent="0.4">
      <c r="A276" s="46">
        <f t="shared" si="4"/>
        <v>274</v>
      </c>
      <c r="B276" s="47">
        <v>12380870</v>
      </c>
      <c r="C276" s="48">
        <v>41054467</v>
      </c>
      <c r="D276" s="49" t="s">
        <v>517</v>
      </c>
      <c r="E276" s="49" t="s">
        <v>518</v>
      </c>
      <c r="F276" s="49" t="s">
        <v>519</v>
      </c>
      <c r="G276" s="91" t="s">
        <v>317</v>
      </c>
      <c r="H276" s="32">
        <v>39</v>
      </c>
      <c r="I276" s="31">
        <v>27</v>
      </c>
      <c r="J276" s="99">
        <v>93</v>
      </c>
      <c r="K276" s="96">
        <v>81</v>
      </c>
      <c r="L276" s="19"/>
    </row>
    <row r="277" spans="1:12" s="1" customFormat="1" ht="15" customHeight="1" thickBot="1" x14ac:dyDescent="0.4">
      <c r="A277" s="46">
        <f t="shared" si="4"/>
        <v>275</v>
      </c>
      <c r="B277" s="47">
        <v>11573700</v>
      </c>
      <c r="C277" s="48">
        <v>41048584</v>
      </c>
      <c r="D277" s="49" t="s">
        <v>520</v>
      </c>
      <c r="E277" s="49" t="s">
        <v>521</v>
      </c>
      <c r="F277" s="49" t="s">
        <v>519</v>
      </c>
      <c r="G277" s="91" t="s">
        <v>317</v>
      </c>
      <c r="H277" s="32">
        <v>10</v>
      </c>
      <c r="I277" s="31">
        <v>18</v>
      </c>
      <c r="J277" s="99">
        <v>30</v>
      </c>
      <c r="K277" s="96">
        <v>54</v>
      </c>
      <c r="L277" s="19"/>
    </row>
    <row r="278" spans="1:12" s="1" customFormat="1" ht="15" customHeight="1" thickBot="1" x14ac:dyDescent="0.4">
      <c r="A278" s="46">
        <f t="shared" si="4"/>
        <v>276</v>
      </c>
      <c r="B278" s="47">
        <v>12115600</v>
      </c>
      <c r="C278" s="48">
        <v>41056436</v>
      </c>
      <c r="D278" s="49" t="s">
        <v>522</v>
      </c>
      <c r="E278" s="49" t="s">
        <v>519</v>
      </c>
      <c r="F278" s="49" t="s">
        <v>519</v>
      </c>
      <c r="G278" s="91" t="s">
        <v>317</v>
      </c>
      <c r="H278" s="32">
        <v>54</v>
      </c>
      <c r="I278" s="31">
        <v>50</v>
      </c>
      <c r="J278" s="99">
        <v>102</v>
      </c>
      <c r="K278" s="96">
        <v>94</v>
      </c>
      <c r="L278" s="19"/>
    </row>
    <row r="279" spans="1:12" s="1" customFormat="1" ht="15" customHeight="1" thickBot="1" x14ac:dyDescent="0.4">
      <c r="A279" s="46">
        <f t="shared" si="4"/>
        <v>277</v>
      </c>
      <c r="B279" s="47">
        <v>12163700</v>
      </c>
      <c r="C279" s="48">
        <v>41055994</v>
      </c>
      <c r="D279" s="49" t="s">
        <v>523</v>
      </c>
      <c r="E279" s="49" t="s">
        <v>524</v>
      </c>
      <c r="F279" s="49" t="s">
        <v>519</v>
      </c>
      <c r="G279" s="91" t="s">
        <v>317</v>
      </c>
      <c r="H279" s="32">
        <v>75</v>
      </c>
      <c r="I279" s="31">
        <v>80</v>
      </c>
      <c r="J279" s="99">
        <v>245</v>
      </c>
      <c r="K279" s="96">
        <v>240</v>
      </c>
      <c r="L279" s="19"/>
    </row>
    <row r="280" spans="1:12" s="1" customFormat="1" ht="15" customHeight="1" thickBot="1" x14ac:dyDescent="0.4">
      <c r="A280" s="46">
        <f t="shared" si="4"/>
        <v>278</v>
      </c>
      <c r="B280" s="47">
        <v>12208500</v>
      </c>
      <c r="C280" s="48">
        <v>41055573</v>
      </c>
      <c r="D280" s="49" t="s">
        <v>525</v>
      </c>
      <c r="E280" s="49" t="s">
        <v>526</v>
      </c>
      <c r="F280" s="49" t="s">
        <v>519</v>
      </c>
      <c r="G280" s="91" t="s">
        <v>317</v>
      </c>
      <c r="H280" s="32">
        <v>40</v>
      </c>
      <c r="I280" s="31">
        <v>39</v>
      </c>
      <c r="J280" s="99">
        <v>296</v>
      </c>
      <c r="K280" s="96">
        <v>345</v>
      </c>
      <c r="L280" s="19"/>
    </row>
    <row r="281" spans="1:12" s="1" customFormat="1" ht="15" customHeight="1" thickBot="1" x14ac:dyDescent="0.4">
      <c r="A281" s="46">
        <f t="shared" si="4"/>
        <v>279</v>
      </c>
      <c r="B281" s="47">
        <v>12527190</v>
      </c>
      <c r="C281" s="48">
        <v>41051854</v>
      </c>
      <c r="D281" s="49" t="s">
        <v>527</v>
      </c>
      <c r="E281" s="49" t="s">
        <v>528</v>
      </c>
      <c r="F281" s="49" t="s">
        <v>519</v>
      </c>
      <c r="G281" s="91" t="s">
        <v>317</v>
      </c>
      <c r="H281" s="32">
        <v>28</v>
      </c>
      <c r="I281" s="31">
        <v>31.5</v>
      </c>
      <c r="J281" s="99">
        <v>112</v>
      </c>
      <c r="K281" s="96">
        <v>136.5</v>
      </c>
      <c r="L281" s="19"/>
    </row>
    <row r="282" spans="1:12" s="1" customFormat="1" ht="15" customHeight="1" thickBot="1" x14ac:dyDescent="0.4">
      <c r="A282" s="46">
        <f t="shared" si="4"/>
        <v>280</v>
      </c>
      <c r="B282" s="47">
        <v>12587290</v>
      </c>
      <c r="C282" s="48">
        <v>41042593</v>
      </c>
      <c r="D282" s="49" t="s">
        <v>529</v>
      </c>
      <c r="E282" s="49" t="s">
        <v>530</v>
      </c>
      <c r="F282" s="49" t="s">
        <v>519</v>
      </c>
      <c r="G282" s="91" t="s">
        <v>317</v>
      </c>
      <c r="H282" s="32">
        <v>53</v>
      </c>
      <c r="I282" s="31">
        <v>45</v>
      </c>
      <c r="J282" s="99">
        <v>147</v>
      </c>
      <c r="K282" s="96">
        <v>123</v>
      </c>
      <c r="L282" s="19"/>
    </row>
    <row r="283" spans="1:12" s="1" customFormat="1" ht="15" customHeight="1" thickBot="1" x14ac:dyDescent="0.4">
      <c r="A283" s="46">
        <f t="shared" si="4"/>
        <v>281</v>
      </c>
      <c r="B283" s="47">
        <v>12596000</v>
      </c>
      <c r="C283" s="48">
        <v>41037557</v>
      </c>
      <c r="D283" s="49" t="s">
        <v>531</v>
      </c>
      <c r="E283" s="49" t="s">
        <v>532</v>
      </c>
      <c r="F283" s="49" t="s">
        <v>519</v>
      </c>
      <c r="G283" s="91" t="s">
        <v>317</v>
      </c>
      <c r="H283" s="32">
        <v>49.01</v>
      </c>
      <c r="I283" s="31">
        <v>72</v>
      </c>
      <c r="J283" s="99">
        <v>23</v>
      </c>
      <c r="K283" s="96">
        <v>36</v>
      </c>
      <c r="L283" s="19"/>
    </row>
    <row r="284" spans="1:12" s="1" customFormat="1" ht="15" customHeight="1" thickBot="1" x14ac:dyDescent="0.4">
      <c r="A284" s="46">
        <f t="shared" si="4"/>
        <v>282</v>
      </c>
      <c r="B284" s="47">
        <v>12600030</v>
      </c>
      <c r="C284" s="48">
        <v>41036795</v>
      </c>
      <c r="D284" s="49" t="s">
        <v>533</v>
      </c>
      <c r="E284" s="49" t="s">
        <v>534</v>
      </c>
      <c r="F284" s="49" t="s">
        <v>519</v>
      </c>
      <c r="G284" s="91" t="s">
        <v>317</v>
      </c>
      <c r="H284" s="32">
        <v>25</v>
      </c>
      <c r="I284" s="31">
        <v>0</v>
      </c>
      <c r="J284" s="99">
        <v>95</v>
      </c>
      <c r="K284" s="96">
        <v>0</v>
      </c>
      <c r="L284" s="19"/>
    </row>
    <row r="285" spans="1:12" s="1" customFormat="1" ht="15" customHeight="1" thickBot="1" x14ac:dyDescent="0.4">
      <c r="A285" s="46">
        <f t="shared" si="4"/>
        <v>283</v>
      </c>
      <c r="B285" s="47">
        <v>12249500</v>
      </c>
      <c r="C285" s="48">
        <v>41055213</v>
      </c>
      <c r="D285" s="49" t="s">
        <v>535</v>
      </c>
      <c r="E285" s="49" t="s">
        <v>536</v>
      </c>
      <c r="F285" s="49" t="s">
        <v>537</v>
      </c>
      <c r="G285" s="91" t="s">
        <v>317</v>
      </c>
      <c r="H285" s="32">
        <v>83</v>
      </c>
      <c r="I285" s="31">
        <v>90</v>
      </c>
      <c r="J285" s="99">
        <v>153</v>
      </c>
      <c r="K285" s="96">
        <v>174</v>
      </c>
      <c r="L285" s="19"/>
    </row>
    <row r="286" spans="1:12" s="1" customFormat="1" ht="15" customHeight="1" thickBot="1" x14ac:dyDescent="0.4">
      <c r="A286" s="46">
        <f t="shared" si="4"/>
        <v>284</v>
      </c>
      <c r="B286" s="50">
        <v>12527370</v>
      </c>
      <c r="C286" s="48">
        <v>41051873</v>
      </c>
      <c r="D286" s="49" t="s">
        <v>538</v>
      </c>
      <c r="E286" s="49" t="s">
        <v>468</v>
      </c>
      <c r="F286" s="49" t="s">
        <v>537</v>
      </c>
      <c r="G286" s="91" t="s">
        <v>317</v>
      </c>
      <c r="H286" s="32">
        <v>60</v>
      </c>
      <c r="I286" s="31">
        <v>60</v>
      </c>
      <c r="J286" s="99">
        <v>72</v>
      </c>
      <c r="K286" s="96">
        <v>180</v>
      </c>
      <c r="L286" s="19"/>
    </row>
    <row r="287" spans="1:12" s="1" customFormat="1" ht="15" customHeight="1" thickBot="1" x14ac:dyDescent="0.4">
      <c r="A287" s="46">
        <f t="shared" si="4"/>
        <v>285</v>
      </c>
      <c r="B287" s="50">
        <v>12592740</v>
      </c>
      <c r="C287" s="48">
        <v>41040765</v>
      </c>
      <c r="D287" s="49" t="s">
        <v>539</v>
      </c>
      <c r="E287" s="49" t="s">
        <v>540</v>
      </c>
      <c r="F287" s="49" t="s">
        <v>537</v>
      </c>
      <c r="G287" s="91" t="s">
        <v>317</v>
      </c>
      <c r="H287" s="32">
        <v>79</v>
      </c>
      <c r="I287" s="31">
        <v>93</v>
      </c>
      <c r="J287" s="99">
        <v>201</v>
      </c>
      <c r="K287" s="96">
        <v>147</v>
      </c>
      <c r="L287" s="19"/>
    </row>
    <row r="288" spans="1:12" s="1" customFormat="1" ht="15" customHeight="1" thickBot="1" x14ac:dyDescent="0.4">
      <c r="A288" s="46">
        <f t="shared" si="4"/>
        <v>286</v>
      </c>
      <c r="B288" s="53">
        <v>12594110</v>
      </c>
      <c r="C288" s="48">
        <v>41038824</v>
      </c>
      <c r="D288" s="49" t="s">
        <v>541</v>
      </c>
      <c r="E288" s="49" t="s">
        <v>542</v>
      </c>
      <c r="F288" s="49" t="s">
        <v>537</v>
      </c>
      <c r="G288" s="91" t="s">
        <v>317</v>
      </c>
      <c r="H288" s="32">
        <v>64</v>
      </c>
      <c r="I288" s="31">
        <v>67</v>
      </c>
      <c r="J288" s="99">
        <v>160</v>
      </c>
      <c r="K288" s="96">
        <v>207</v>
      </c>
      <c r="L288" s="19"/>
    </row>
    <row r="289" spans="1:12" s="1" customFormat="1" ht="15" customHeight="1" thickBot="1" x14ac:dyDescent="0.4">
      <c r="A289" s="46">
        <f t="shared" si="4"/>
        <v>287</v>
      </c>
      <c r="B289" s="47">
        <v>11021110</v>
      </c>
      <c r="C289" s="48">
        <v>41053280</v>
      </c>
      <c r="D289" s="49" t="s">
        <v>543</v>
      </c>
      <c r="E289" s="49" t="s">
        <v>544</v>
      </c>
      <c r="F289" s="49" t="s">
        <v>545</v>
      </c>
      <c r="G289" s="91" t="s">
        <v>317</v>
      </c>
      <c r="H289" s="32">
        <v>65</v>
      </c>
      <c r="I289" s="31">
        <v>78</v>
      </c>
      <c r="J289" s="99">
        <v>255</v>
      </c>
      <c r="K289" s="96">
        <v>234</v>
      </c>
      <c r="L289" s="19"/>
    </row>
    <row r="290" spans="1:12" s="1" customFormat="1" ht="15" customHeight="1" thickBot="1" x14ac:dyDescent="0.4">
      <c r="A290" s="46">
        <f t="shared" si="4"/>
        <v>288</v>
      </c>
      <c r="B290" s="51">
        <v>12509200</v>
      </c>
      <c r="C290" s="48">
        <v>41053979</v>
      </c>
      <c r="D290" s="49" t="s">
        <v>546</v>
      </c>
      <c r="E290" s="49" t="s">
        <v>545</v>
      </c>
      <c r="F290" s="49" t="s">
        <v>545</v>
      </c>
      <c r="G290" s="91" t="s">
        <v>317</v>
      </c>
      <c r="H290" s="32">
        <v>44</v>
      </c>
      <c r="I290" s="31">
        <v>39</v>
      </c>
      <c r="J290" s="99">
        <v>12</v>
      </c>
      <c r="K290" s="96">
        <v>21</v>
      </c>
      <c r="L290" s="19"/>
    </row>
    <row r="291" spans="1:12" s="1" customFormat="1" ht="15" customHeight="1" thickBot="1" x14ac:dyDescent="0.4">
      <c r="A291" s="46">
        <f t="shared" si="4"/>
        <v>289</v>
      </c>
      <c r="B291" s="55">
        <v>12514230</v>
      </c>
      <c r="C291" s="48">
        <v>41053589</v>
      </c>
      <c r="D291" s="49" t="s">
        <v>547</v>
      </c>
      <c r="E291" s="49" t="s">
        <v>545</v>
      </c>
      <c r="F291" s="49" t="s">
        <v>545</v>
      </c>
      <c r="G291" s="91" t="s">
        <v>317</v>
      </c>
      <c r="H291" s="32">
        <v>3</v>
      </c>
      <c r="I291" s="31">
        <v>6</v>
      </c>
      <c r="J291" s="99">
        <v>9</v>
      </c>
      <c r="K291" s="96">
        <v>6</v>
      </c>
      <c r="L291" s="19"/>
    </row>
    <row r="292" spans="1:12" s="1" customFormat="1" ht="15" customHeight="1" thickBot="1" x14ac:dyDescent="0.4">
      <c r="A292" s="46">
        <f t="shared" si="4"/>
        <v>290</v>
      </c>
      <c r="B292" s="47">
        <v>12520360</v>
      </c>
      <c r="C292" s="48">
        <v>41052637</v>
      </c>
      <c r="D292" s="49" t="s">
        <v>548</v>
      </c>
      <c r="E292" s="49" t="s">
        <v>549</v>
      </c>
      <c r="F292" s="49" t="s">
        <v>545</v>
      </c>
      <c r="G292" s="91" t="s">
        <v>317</v>
      </c>
      <c r="H292" s="32">
        <v>15</v>
      </c>
      <c r="I292" s="31">
        <v>18</v>
      </c>
      <c r="J292" s="99">
        <v>33</v>
      </c>
      <c r="K292" s="96">
        <v>54</v>
      </c>
      <c r="L292" s="19"/>
    </row>
    <row r="293" spans="1:12" s="1" customFormat="1" ht="15" customHeight="1" thickBot="1" x14ac:dyDescent="0.4">
      <c r="A293" s="46">
        <f t="shared" si="4"/>
        <v>291</v>
      </c>
      <c r="B293" s="47">
        <v>12530270</v>
      </c>
      <c r="C293" s="48">
        <v>41051514</v>
      </c>
      <c r="D293" s="49" t="s">
        <v>550</v>
      </c>
      <c r="E293" s="49" t="s">
        <v>545</v>
      </c>
      <c r="F293" s="49" t="s">
        <v>545</v>
      </c>
      <c r="G293" s="91" t="s">
        <v>317</v>
      </c>
      <c r="H293" s="32">
        <v>40</v>
      </c>
      <c r="I293" s="31">
        <v>48</v>
      </c>
      <c r="J293" s="99">
        <v>92</v>
      </c>
      <c r="K293" s="96">
        <v>96</v>
      </c>
      <c r="L293" s="19"/>
    </row>
    <row r="294" spans="1:12" s="1" customFormat="1" ht="15" customHeight="1" thickBot="1" x14ac:dyDescent="0.4">
      <c r="A294" s="46">
        <f t="shared" si="4"/>
        <v>292</v>
      </c>
      <c r="B294" s="47">
        <v>12530280</v>
      </c>
      <c r="C294" s="48">
        <v>41051515</v>
      </c>
      <c r="D294" s="49" t="s">
        <v>551</v>
      </c>
      <c r="E294" s="49" t="s">
        <v>552</v>
      </c>
      <c r="F294" s="49" t="s">
        <v>545</v>
      </c>
      <c r="G294" s="91" t="s">
        <v>317</v>
      </c>
      <c r="H294" s="32">
        <v>6</v>
      </c>
      <c r="I294" s="31">
        <v>0</v>
      </c>
      <c r="J294" s="99">
        <v>18</v>
      </c>
      <c r="K294" s="96">
        <v>0</v>
      </c>
      <c r="L294" s="19"/>
    </row>
    <row r="295" spans="1:12" s="1" customFormat="1" ht="15" customHeight="1" thickBot="1" x14ac:dyDescent="0.4">
      <c r="A295" s="46">
        <f t="shared" si="4"/>
        <v>293</v>
      </c>
      <c r="B295" s="47">
        <v>12554410</v>
      </c>
      <c r="C295" s="48">
        <v>41048937</v>
      </c>
      <c r="D295" s="49" t="s">
        <v>553</v>
      </c>
      <c r="E295" s="49" t="s">
        <v>554</v>
      </c>
      <c r="F295" s="49" t="s">
        <v>545</v>
      </c>
      <c r="G295" s="91" t="s">
        <v>317</v>
      </c>
      <c r="H295" s="32">
        <v>25.5</v>
      </c>
      <c r="I295" s="31">
        <v>18</v>
      </c>
      <c r="J295" s="99">
        <v>60.5</v>
      </c>
      <c r="K295" s="96">
        <v>38</v>
      </c>
      <c r="L295" s="19"/>
    </row>
    <row r="296" spans="1:12" s="1" customFormat="1" ht="15" customHeight="1" thickBot="1" x14ac:dyDescent="0.4">
      <c r="A296" s="46">
        <f t="shared" si="4"/>
        <v>294</v>
      </c>
      <c r="B296" s="54">
        <v>12558850</v>
      </c>
      <c r="C296" s="48">
        <v>41048004</v>
      </c>
      <c r="D296" s="49" t="s">
        <v>555</v>
      </c>
      <c r="E296" s="49" t="s">
        <v>556</v>
      </c>
      <c r="F296" s="49" t="s">
        <v>519</v>
      </c>
      <c r="G296" s="91" t="s">
        <v>317</v>
      </c>
      <c r="H296" s="32">
        <v>52</v>
      </c>
      <c r="I296" s="31">
        <v>49.5</v>
      </c>
      <c r="J296" s="99">
        <v>102</v>
      </c>
      <c r="K296" s="96">
        <v>166.5</v>
      </c>
      <c r="L296" s="19"/>
    </row>
    <row r="297" spans="1:12" s="1" customFormat="1" ht="15" customHeight="1" thickBot="1" x14ac:dyDescent="0.4">
      <c r="A297" s="46">
        <f t="shared" si="4"/>
        <v>295</v>
      </c>
      <c r="B297" s="54">
        <v>12570390</v>
      </c>
      <c r="C297" s="48">
        <v>41044691</v>
      </c>
      <c r="D297" s="49" t="s">
        <v>557</v>
      </c>
      <c r="E297" s="49" t="s">
        <v>558</v>
      </c>
      <c r="F297" s="49" t="s">
        <v>519</v>
      </c>
      <c r="G297" s="91" t="s">
        <v>317</v>
      </c>
      <c r="H297" s="32">
        <v>105</v>
      </c>
      <c r="I297" s="31">
        <v>119</v>
      </c>
      <c r="J297" s="99">
        <v>186</v>
      </c>
      <c r="K297" s="96">
        <v>167</v>
      </c>
      <c r="L297" s="19"/>
    </row>
    <row r="298" spans="1:12" s="1" customFormat="1" ht="15" customHeight="1" thickBot="1" x14ac:dyDescent="0.4">
      <c r="A298" s="46">
        <f t="shared" si="4"/>
        <v>296</v>
      </c>
      <c r="B298" s="54">
        <v>12579030</v>
      </c>
      <c r="C298" s="48">
        <v>41043306</v>
      </c>
      <c r="D298" s="49" t="s">
        <v>559</v>
      </c>
      <c r="E298" s="49" t="s">
        <v>560</v>
      </c>
      <c r="F298" s="49" t="s">
        <v>537</v>
      </c>
      <c r="G298" s="91" t="s">
        <v>317</v>
      </c>
      <c r="H298" s="32">
        <v>12</v>
      </c>
      <c r="I298" s="31">
        <v>32</v>
      </c>
      <c r="J298" s="99">
        <v>36</v>
      </c>
      <c r="K298" s="96">
        <v>96</v>
      </c>
      <c r="L298" s="19"/>
    </row>
    <row r="299" spans="1:12" s="1" customFormat="1" ht="15" customHeight="1" thickBot="1" x14ac:dyDescent="0.4">
      <c r="A299" s="46">
        <f t="shared" si="4"/>
        <v>297</v>
      </c>
      <c r="B299" s="54"/>
      <c r="C299" s="48">
        <v>41044941</v>
      </c>
      <c r="D299" s="49" t="s">
        <v>561</v>
      </c>
      <c r="E299" s="49" t="s">
        <v>562</v>
      </c>
      <c r="F299" s="49" t="s">
        <v>545</v>
      </c>
      <c r="G299" s="91" t="s">
        <v>317</v>
      </c>
      <c r="H299" s="32">
        <v>26</v>
      </c>
      <c r="I299" s="31">
        <v>32</v>
      </c>
      <c r="J299" s="99">
        <v>78</v>
      </c>
      <c r="K299" s="96">
        <v>76</v>
      </c>
      <c r="L299" s="19"/>
    </row>
    <row r="300" spans="1:12" s="1" customFormat="1" ht="15" customHeight="1" thickBot="1" x14ac:dyDescent="0.4">
      <c r="A300" s="46">
        <f t="shared" si="4"/>
        <v>298</v>
      </c>
      <c r="B300" s="54">
        <v>12590230</v>
      </c>
      <c r="C300" s="48">
        <v>41041844</v>
      </c>
      <c r="D300" s="49" t="s">
        <v>240</v>
      </c>
      <c r="E300" s="49" t="s">
        <v>563</v>
      </c>
      <c r="F300" s="49" t="s">
        <v>519</v>
      </c>
      <c r="G300" s="91" t="s">
        <v>317</v>
      </c>
      <c r="H300" s="32">
        <v>27.5</v>
      </c>
      <c r="I300" s="31">
        <v>24.5</v>
      </c>
      <c r="J300" s="99">
        <v>122.5</v>
      </c>
      <c r="K300" s="96">
        <v>97.5</v>
      </c>
      <c r="L300" s="19"/>
    </row>
    <row r="301" spans="1:12" s="1" customFormat="1" ht="15" customHeight="1" thickBot="1" x14ac:dyDescent="0.4">
      <c r="A301" s="46">
        <f t="shared" si="4"/>
        <v>299</v>
      </c>
      <c r="B301" s="50">
        <v>12595990</v>
      </c>
      <c r="C301" s="48">
        <v>41037556</v>
      </c>
      <c r="D301" s="49" t="s">
        <v>564</v>
      </c>
      <c r="E301" s="49" t="s">
        <v>519</v>
      </c>
      <c r="F301" s="49" t="s">
        <v>519</v>
      </c>
      <c r="G301" s="91" t="s">
        <v>317</v>
      </c>
      <c r="H301" s="32">
        <v>65</v>
      </c>
      <c r="I301" s="31">
        <v>66</v>
      </c>
      <c r="J301" s="99">
        <v>51</v>
      </c>
      <c r="K301" s="96">
        <v>54</v>
      </c>
      <c r="L301" s="19"/>
    </row>
    <row r="302" spans="1:12" s="1" customFormat="1" ht="15" customHeight="1" thickBot="1" x14ac:dyDescent="0.4">
      <c r="A302" s="46">
        <f t="shared" si="4"/>
        <v>300</v>
      </c>
      <c r="B302" s="62">
        <v>12600060</v>
      </c>
      <c r="C302" s="48">
        <v>41036940</v>
      </c>
      <c r="D302" s="49" t="s">
        <v>565</v>
      </c>
      <c r="E302" s="49" t="s">
        <v>566</v>
      </c>
      <c r="F302" s="49" t="s">
        <v>519</v>
      </c>
      <c r="G302" s="91" t="s">
        <v>317</v>
      </c>
      <c r="H302" s="32">
        <v>12</v>
      </c>
      <c r="I302" s="31">
        <v>0</v>
      </c>
      <c r="J302" s="99">
        <v>36</v>
      </c>
      <c r="K302" s="96">
        <v>0</v>
      </c>
      <c r="L302" s="19"/>
    </row>
    <row r="303" spans="1:12" s="1" customFormat="1" ht="15" customHeight="1" thickBot="1" x14ac:dyDescent="0.4">
      <c r="A303" s="46">
        <f t="shared" si="4"/>
        <v>301</v>
      </c>
      <c r="B303" s="62"/>
      <c r="C303" s="70">
        <v>41078064</v>
      </c>
      <c r="D303" s="49" t="s">
        <v>567</v>
      </c>
      <c r="E303" s="71" t="s">
        <v>568</v>
      </c>
      <c r="F303" s="49" t="s">
        <v>519</v>
      </c>
      <c r="G303" s="91" t="s">
        <v>317</v>
      </c>
      <c r="H303" s="32">
        <v>13</v>
      </c>
      <c r="I303" s="31">
        <v>39.5</v>
      </c>
      <c r="J303" s="99">
        <v>143</v>
      </c>
      <c r="K303" s="96">
        <v>168.5</v>
      </c>
      <c r="L303" s="19"/>
    </row>
    <row r="304" spans="1:12" s="1" customFormat="1" ht="15" customHeight="1" thickBot="1" x14ac:dyDescent="0.4">
      <c r="A304" s="46">
        <f t="shared" si="4"/>
        <v>302</v>
      </c>
      <c r="B304" s="72"/>
      <c r="C304" s="70">
        <v>41077982</v>
      </c>
      <c r="D304" s="49" t="s">
        <v>569</v>
      </c>
      <c r="E304" s="49" t="s">
        <v>570</v>
      </c>
      <c r="F304" s="49" t="s">
        <v>545</v>
      </c>
      <c r="G304" s="91" t="s">
        <v>317</v>
      </c>
      <c r="H304" s="32">
        <v>20</v>
      </c>
      <c r="I304" s="31">
        <v>42</v>
      </c>
      <c r="J304" s="99">
        <v>120</v>
      </c>
      <c r="K304" s="96">
        <v>150</v>
      </c>
      <c r="L304" s="19"/>
    </row>
    <row r="305" spans="1:12" s="1" customFormat="1" ht="15" customHeight="1" thickBot="1" x14ac:dyDescent="0.4">
      <c r="A305" s="46">
        <f t="shared" si="4"/>
        <v>303</v>
      </c>
      <c r="B305" s="62">
        <v>12607060</v>
      </c>
      <c r="C305" s="48">
        <v>41034688</v>
      </c>
      <c r="D305" s="49" t="s">
        <v>571</v>
      </c>
      <c r="E305" s="49" t="s">
        <v>572</v>
      </c>
      <c r="F305" s="49" t="s">
        <v>545</v>
      </c>
      <c r="G305" s="91" t="s">
        <v>317</v>
      </c>
      <c r="H305" s="32">
        <v>28</v>
      </c>
      <c r="I305" s="31">
        <v>32.5</v>
      </c>
      <c r="J305" s="99">
        <v>112</v>
      </c>
      <c r="K305" s="96">
        <v>149.5</v>
      </c>
      <c r="L305" s="19"/>
    </row>
    <row r="306" spans="1:12" s="1" customFormat="1" ht="15" customHeight="1" thickBot="1" x14ac:dyDescent="0.4">
      <c r="A306" s="46">
        <f t="shared" si="4"/>
        <v>304</v>
      </c>
      <c r="B306" s="62">
        <v>12607050</v>
      </c>
      <c r="C306" s="48">
        <v>41034687</v>
      </c>
      <c r="D306" s="49" t="s">
        <v>573</v>
      </c>
      <c r="E306" s="49" t="s">
        <v>574</v>
      </c>
      <c r="F306" s="49" t="s">
        <v>537</v>
      </c>
      <c r="G306" s="91" t="s">
        <v>317</v>
      </c>
      <c r="H306" s="32">
        <v>60</v>
      </c>
      <c r="I306" s="31">
        <v>61</v>
      </c>
      <c r="J306" s="99">
        <v>222</v>
      </c>
      <c r="K306" s="96">
        <v>245</v>
      </c>
      <c r="L306" s="19"/>
    </row>
    <row r="307" spans="1:12" s="1" customFormat="1" ht="15" customHeight="1" thickBot="1" x14ac:dyDescent="0.4">
      <c r="A307" s="46">
        <f t="shared" si="4"/>
        <v>305</v>
      </c>
      <c r="B307" s="62"/>
      <c r="C307" s="48">
        <v>41068153</v>
      </c>
      <c r="D307" s="49" t="s">
        <v>575</v>
      </c>
      <c r="E307" s="57" t="s">
        <v>236</v>
      </c>
      <c r="F307" s="49" t="s">
        <v>537</v>
      </c>
      <c r="G307" s="91" t="s">
        <v>317</v>
      </c>
      <c r="H307" s="32">
        <v>26</v>
      </c>
      <c r="I307" s="31">
        <v>32</v>
      </c>
      <c r="J307" s="99">
        <v>126</v>
      </c>
      <c r="K307" s="96">
        <v>144</v>
      </c>
      <c r="L307" s="19"/>
    </row>
    <row r="308" spans="1:12" s="1" customFormat="1" ht="15" thickBot="1" x14ac:dyDescent="0.4">
      <c r="A308" s="46">
        <f t="shared" si="4"/>
        <v>306</v>
      </c>
      <c r="B308" s="62"/>
      <c r="C308" s="48">
        <v>41071781</v>
      </c>
      <c r="D308" s="49" t="s">
        <v>576</v>
      </c>
      <c r="E308" s="57" t="s">
        <v>577</v>
      </c>
      <c r="F308" s="49" t="s">
        <v>519</v>
      </c>
      <c r="G308" s="91" t="s">
        <v>317</v>
      </c>
      <c r="H308" s="32">
        <v>0</v>
      </c>
      <c r="I308" s="31">
        <v>56</v>
      </c>
      <c r="J308" s="99">
        <v>0</v>
      </c>
      <c r="K308" s="96">
        <v>108</v>
      </c>
      <c r="L308" s="19"/>
    </row>
    <row r="309" spans="1:12" s="1" customFormat="1" ht="15" customHeight="1" thickBot="1" x14ac:dyDescent="0.4">
      <c r="A309" s="46">
        <f t="shared" si="4"/>
        <v>307</v>
      </c>
      <c r="B309" s="62"/>
      <c r="C309" s="48">
        <v>41071790</v>
      </c>
      <c r="D309" s="49" t="s">
        <v>578</v>
      </c>
      <c r="E309" s="57" t="s">
        <v>579</v>
      </c>
      <c r="F309" s="49" t="s">
        <v>519</v>
      </c>
      <c r="G309" s="91" t="s">
        <v>317</v>
      </c>
      <c r="H309" s="32">
        <v>0</v>
      </c>
      <c r="I309" s="31">
        <v>99</v>
      </c>
      <c r="J309" s="99">
        <v>0</v>
      </c>
      <c r="K309" s="96">
        <v>293</v>
      </c>
      <c r="L309" s="19"/>
    </row>
    <row r="310" spans="1:12" s="1" customFormat="1" ht="15" customHeight="1" thickBot="1" x14ac:dyDescent="0.4">
      <c r="A310" s="46">
        <f t="shared" si="4"/>
        <v>308</v>
      </c>
      <c r="B310" s="62"/>
      <c r="C310" s="48">
        <v>41071791</v>
      </c>
      <c r="D310" s="49" t="s">
        <v>580</v>
      </c>
      <c r="E310" s="57" t="s">
        <v>545</v>
      </c>
      <c r="F310" s="49" t="s">
        <v>545</v>
      </c>
      <c r="G310" s="91" t="s">
        <v>317</v>
      </c>
      <c r="H310" s="32">
        <v>4</v>
      </c>
      <c r="I310" s="31">
        <v>16</v>
      </c>
      <c r="J310" s="99">
        <v>8</v>
      </c>
      <c r="K310" s="96">
        <v>56</v>
      </c>
      <c r="L310" s="19"/>
    </row>
    <row r="311" spans="1:12" s="1" customFormat="1" ht="15" customHeight="1" thickBot="1" x14ac:dyDescent="0.4">
      <c r="A311" s="46">
        <f t="shared" si="4"/>
        <v>309</v>
      </c>
      <c r="B311" s="62"/>
      <c r="C311" s="48">
        <v>41074585</v>
      </c>
      <c r="D311" s="49" t="s">
        <v>581</v>
      </c>
      <c r="E311" s="49" t="s">
        <v>582</v>
      </c>
      <c r="F311" s="49" t="s">
        <v>519</v>
      </c>
      <c r="G311" s="91" t="s">
        <v>317</v>
      </c>
      <c r="H311" s="32">
        <v>0</v>
      </c>
      <c r="I311" s="31">
        <v>18</v>
      </c>
      <c r="J311" s="99">
        <v>0</v>
      </c>
      <c r="K311" s="96">
        <v>42</v>
      </c>
      <c r="L311" s="19"/>
    </row>
    <row r="312" spans="1:12" s="1" customFormat="1" ht="15" customHeight="1" thickBot="1" x14ac:dyDescent="0.4">
      <c r="A312" s="46">
        <f t="shared" si="4"/>
        <v>310</v>
      </c>
      <c r="B312" s="62"/>
      <c r="C312" s="48">
        <v>41076528</v>
      </c>
      <c r="D312" s="49" t="s">
        <v>583</v>
      </c>
      <c r="E312" s="49" t="s">
        <v>584</v>
      </c>
      <c r="F312" s="49" t="s">
        <v>358</v>
      </c>
      <c r="G312" s="91" t="s">
        <v>317</v>
      </c>
      <c r="H312" s="32">
        <v>0</v>
      </c>
      <c r="I312" s="31">
        <v>34</v>
      </c>
      <c r="J312" s="99">
        <v>0</v>
      </c>
      <c r="K312" s="96">
        <v>74</v>
      </c>
      <c r="L312" s="19"/>
    </row>
    <row r="313" spans="1:12" s="1" customFormat="1" ht="15" customHeight="1" thickBot="1" x14ac:dyDescent="0.4">
      <c r="A313" s="46">
        <f t="shared" si="4"/>
        <v>311</v>
      </c>
      <c r="B313" s="62"/>
      <c r="C313" s="48">
        <v>41076716</v>
      </c>
      <c r="D313" s="49" t="s">
        <v>585</v>
      </c>
      <c r="E313" s="49" t="s">
        <v>586</v>
      </c>
      <c r="F313" s="49" t="s">
        <v>537</v>
      </c>
      <c r="G313" s="91" t="s">
        <v>317</v>
      </c>
      <c r="H313" s="32">
        <v>0</v>
      </c>
      <c r="I313" s="31">
        <v>27</v>
      </c>
      <c r="J313" s="99">
        <v>0</v>
      </c>
      <c r="K313" s="96">
        <v>57</v>
      </c>
      <c r="L313" s="19"/>
    </row>
    <row r="314" spans="1:12" s="1" customFormat="1" ht="15" customHeight="1" thickBot="1" x14ac:dyDescent="0.4">
      <c r="A314" s="46">
        <f t="shared" si="4"/>
        <v>312</v>
      </c>
      <c r="B314" s="62"/>
      <c r="C314" s="48">
        <v>41078849</v>
      </c>
      <c r="D314" s="49" t="s">
        <v>467</v>
      </c>
      <c r="E314" s="49" t="s">
        <v>587</v>
      </c>
      <c r="F314" s="49" t="s">
        <v>519</v>
      </c>
      <c r="G314" s="91" t="s">
        <v>317</v>
      </c>
      <c r="H314" s="32">
        <v>0</v>
      </c>
      <c r="I314" s="31">
        <v>15</v>
      </c>
      <c r="J314" s="99">
        <v>0</v>
      </c>
      <c r="K314" s="96">
        <v>45</v>
      </c>
      <c r="L314" s="19"/>
    </row>
    <row r="315" spans="1:12" s="1" customFormat="1" ht="15" customHeight="1" thickBot="1" x14ac:dyDescent="0.4">
      <c r="A315" s="46">
        <f t="shared" si="4"/>
        <v>313</v>
      </c>
      <c r="B315" s="62"/>
      <c r="C315" s="48">
        <v>41078661</v>
      </c>
      <c r="D315" s="49" t="s">
        <v>588</v>
      </c>
      <c r="E315" s="49" t="s">
        <v>589</v>
      </c>
      <c r="F315" s="49" t="s">
        <v>537</v>
      </c>
      <c r="G315" s="91" t="s">
        <v>590</v>
      </c>
      <c r="H315" s="32">
        <v>0</v>
      </c>
      <c r="I315" s="31">
        <v>23</v>
      </c>
      <c r="J315" s="99">
        <v>0</v>
      </c>
      <c r="K315" s="96">
        <v>105</v>
      </c>
      <c r="L315" s="19"/>
    </row>
    <row r="316" spans="1:12" s="1" customFormat="1" ht="15" customHeight="1" thickBot="1" x14ac:dyDescent="0.4">
      <c r="A316" s="46">
        <f t="shared" si="4"/>
        <v>314</v>
      </c>
      <c r="B316" s="62"/>
      <c r="C316" s="48">
        <v>41085452</v>
      </c>
      <c r="D316" s="49" t="s">
        <v>591</v>
      </c>
      <c r="E316" s="49" t="s">
        <v>592</v>
      </c>
      <c r="F316" s="49" t="s">
        <v>519</v>
      </c>
      <c r="G316" s="91" t="s">
        <v>317</v>
      </c>
      <c r="H316" s="32">
        <v>0</v>
      </c>
      <c r="I316" s="31">
        <v>22</v>
      </c>
      <c r="J316" s="99">
        <v>0</v>
      </c>
      <c r="K316" s="96">
        <v>74</v>
      </c>
      <c r="L316" s="19"/>
    </row>
    <row r="317" spans="1:12" s="1" customFormat="1" ht="15" customHeight="1" thickBot="1" x14ac:dyDescent="0.4">
      <c r="A317" s="46">
        <f t="shared" si="4"/>
        <v>315</v>
      </c>
      <c r="B317" s="62"/>
      <c r="C317" s="48">
        <v>41085317</v>
      </c>
      <c r="D317" s="49" t="s">
        <v>593</v>
      </c>
      <c r="E317" s="49" t="s">
        <v>594</v>
      </c>
      <c r="F317" s="49" t="s">
        <v>519</v>
      </c>
      <c r="G317" s="91" t="s">
        <v>317</v>
      </c>
      <c r="H317" s="32">
        <v>0</v>
      </c>
      <c r="I317" s="31">
        <v>31.5</v>
      </c>
      <c r="J317" s="99">
        <v>0</v>
      </c>
      <c r="K317" s="96">
        <v>70.5</v>
      </c>
      <c r="L317" s="19"/>
    </row>
    <row r="318" spans="1:12" s="1" customFormat="1" ht="15" customHeight="1" thickBot="1" x14ac:dyDescent="0.4">
      <c r="A318" s="46">
        <f t="shared" si="4"/>
        <v>316</v>
      </c>
      <c r="B318" s="62"/>
      <c r="C318" s="48">
        <v>41089964</v>
      </c>
      <c r="D318" s="49" t="s">
        <v>833</v>
      </c>
      <c r="E318" s="49" t="s">
        <v>514</v>
      </c>
      <c r="F318" s="49" t="s">
        <v>514</v>
      </c>
      <c r="G318" s="91" t="s">
        <v>317</v>
      </c>
      <c r="H318" s="32">
        <v>0</v>
      </c>
      <c r="I318" s="31">
        <v>0</v>
      </c>
      <c r="J318" s="99">
        <v>0</v>
      </c>
      <c r="K318" s="96">
        <v>0</v>
      </c>
      <c r="L318" s="19"/>
    </row>
    <row r="319" spans="1:12" s="1" customFormat="1" ht="15" customHeight="1" thickBot="1" x14ac:dyDescent="0.4">
      <c r="A319" s="46">
        <f t="shared" si="4"/>
        <v>317</v>
      </c>
      <c r="B319" s="83"/>
      <c r="C319" s="48">
        <v>41090074</v>
      </c>
      <c r="D319" s="49" t="s">
        <v>864</v>
      </c>
      <c r="E319" s="49" t="s">
        <v>865</v>
      </c>
      <c r="F319" s="49" t="s">
        <v>545</v>
      </c>
      <c r="G319" s="91" t="s">
        <v>317</v>
      </c>
      <c r="H319" s="32">
        <v>0</v>
      </c>
      <c r="I319" s="31">
        <v>9</v>
      </c>
      <c r="J319" s="99">
        <v>0</v>
      </c>
      <c r="K319" s="96">
        <v>27</v>
      </c>
      <c r="L319" s="19"/>
    </row>
    <row r="320" spans="1:12" s="1" customFormat="1" ht="15" customHeight="1" thickBot="1" x14ac:dyDescent="0.4">
      <c r="A320" s="46">
        <f t="shared" si="4"/>
        <v>318</v>
      </c>
      <c r="B320" s="87"/>
      <c r="C320" s="48">
        <v>41093402</v>
      </c>
      <c r="D320" s="49" t="s">
        <v>866</v>
      </c>
      <c r="E320" s="49" t="s">
        <v>867</v>
      </c>
      <c r="F320" s="49" t="s">
        <v>545</v>
      </c>
      <c r="G320" s="91" t="s">
        <v>317</v>
      </c>
      <c r="H320" s="32">
        <v>0</v>
      </c>
      <c r="I320" s="31">
        <v>0</v>
      </c>
      <c r="J320" s="99">
        <v>0</v>
      </c>
      <c r="K320" s="96">
        <v>0</v>
      </c>
      <c r="L320" s="19"/>
    </row>
    <row r="321" spans="1:12" s="1" customFormat="1" ht="15" customHeight="1" thickBot="1" x14ac:dyDescent="0.4">
      <c r="A321" s="46">
        <f t="shared" si="4"/>
        <v>319</v>
      </c>
      <c r="B321" s="54"/>
      <c r="C321" s="70">
        <v>41085889</v>
      </c>
      <c r="D321" s="49" t="s">
        <v>595</v>
      </c>
      <c r="E321" s="49" t="s">
        <v>596</v>
      </c>
      <c r="F321" s="49" t="s">
        <v>537</v>
      </c>
      <c r="G321" s="91" t="s">
        <v>317</v>
      </c>
      <c r="H321" s="32">
        <v>9</v>
      </c>
      <c r="I321" s="31">
        <v>22</v>
      </c>
      <c r="J321" s="99">
        <v>27</v>
      </c>
      <c r="K321" s="96">
        <v>74</v>
      </c>
      <c r="L321" s="19"/>
    </row>
    <row r="322" spans="1:12" s="1" customFormat="1" ht="15" customHeight="1" thickBot="1" x14ac:dyDescent="0.4">
      <c r="A322" s="46">
        <f t="shared" si="4"/>
        <v>320</v>
      </c>
      <c r="B322" s="47">
        <v>11022110</v>
      </c>
      <c r="C322" s="48">
        <v>41053317</v>
      </c>
      <c r="D322" s="49" t="s">
        <v>597</v>
      </c>
      <c r="E322" s="49" t="s">
        <v>598</v>
      </c>
      <c r="F322" s="49" t="s">
        <v>598</v>
      </c>
      <c r="G322" s="91" t="s">
        <v>599</v>
      </c>
      <c r="H322" s="32">
        <v>90</v>
      </c>
      <c r="I322" s="31">
        <v>95</v>
      </c>
      <c r="J322" s="99">
        <v>210</v>
      </c>
      <c r="K322" s="96">
        <v>225</v>
      </c>
      <c r="L322" s="19"/>
    </row>
    <row r="323" spans="1:12" s="1" customFormat="1" ht="15" customHeight="1" thickBot="1" x14ac:dyDescent="0.4">
      <c r="A323" s="46">
        <f t="shared" si="4"/>
        <v>321</v>
      </c>
      <c r="B323" s="47">
        <v>12266400</v>
      </c>
      <c r="C323" s="48">
        <v>41055296</v>
      </c>
      <c r="D323" s="49" t="s">
        <v>600</v>
      </c>
      <c r="E323" s="49" t="s">
        <v>601</v>
      </c>
      <c r="F323" s="49" t="s">
        <v>598</v>
      </c>
      <c r="G323" s="91" t="s">
        <v>599</v>
      </c>
      <c r="H323" s="32">
        <v>56</v>
      </c>
      <c r="I323" s="31">
        <v>64</v>
      </c>
      <c r="J323" s="99">
        <v>226</v>
      </c>
      <c r="K323" s="96">
        <v>234</v>
      </c>
      <c r="L323" s="19"/>
    </row>
    <row r="324" spans="1:12" s="1" customFormat="1" ht="15" customHeight="1" thickBot="1" x14ac:dyDescent="0.4">
      <c r="A324" s="46">
        <f t="shared" ref="A324:A387" si="5">+A323+1</f>
        <v>322</v>
      </c>
      <c r="B324" s="47">
        <v>12249700</v>
      </c>
      <c r="C324" s="48">
        <v>41055215</v>
      </c>
      <c r="D324" s="49" t="s">
        <v>602</v>
      </c>
      <c r="E324" s="49" t="s">
        <v>603</v>
      </c>
      <c r="F324" s="49" t="s">
        <v>598</v>
      </c>
      <c r="G324" s="91" t="s">
        <v>599</v>
      </c>
      <c r="H324" s="32">
        <v>7</v>
      </c>
      <c r="I324" s="31">
        <v>3</v>
      </c>
      <c r="J324" s="99">
        <v>17</v>
      </c>
      <c r="K324" s="96">
        <v>9</v>
      </c>
      <c r="L324" s="19"/>
    </row>
    <row r="325" spans="1:12" s="1" customFormat="1" ht="15" customHeight="1" thickBot="1" x14ac:dyDescent="0.4">
      <c r="A325" s="46">
        <f t="shared" si="5"/>
        <v>323</v>
      </c>
      <c r="B325" s="47">
        <v>12532330</v>
      </c>
      <c r="C325" s="48">
        <v>41051730</v>
      </c>
      <c r="D325" s="49" t="s">
        <v>604</v>
      </c>
      <c r="E325" s="49" t="s">
        <v>605</v>
      </c>
      <c r="F325" s="49" t="s">
        <v>605</v>
      </c>
      <c r="G325" s="91" t="s">
        <v>599</v>
      </c>
      <c r="H325" s="32">
        <v>14</v>
      </c>
      <c r="I325" s="31">
        <v>0</v>
      </c>
      <c r="J325" s="99">
        <v>22</v>
      </c>
      <c r="K325" s="96">
        <v>0</v>
      </c>
      <c r="L325" s="19"/>
    </row>
    <row r="326" spans="1:12" s="1" customFormat="1" ht="15" customHeight="1" thickBot="1" x14ac:dyDescent="0.4">
      <c r="A326" s="46">
        <f t="shared" si="5"/>
        <v>324</v>
      </c>
      <c r="B326" s="47">
        <v>12551510</v>
      </c>
      <c r="C326" s="48">
        <v>41049322</v>
      </c>
      <c r="D326" s="49" t="s">
        <v>606</v>
      </c>
      <c r="E326" s="49" t="s">
        <v>607</v>
      </c>
      <c r="F326" s="49" t="s">
        <v>605</v>
      </c>
      <c r="G326" s="91" t="s">
        <v>599</v>
      </c>
      <c r="H326" s="32">
        <v>19</v>
      </c>
      <c r="I326" s="31">
        <v>40</v>
      </c>
      <c r="J326" s="99">
        <v>117</v>
      </c>
      <c r="K326" s="96">
        <v>152</v>
      </c>
      <c r="L326" s="19"/>
    </row>
    <row r="327" spans="1:12" s="1" customFormat="1" ht="15" customHeight="1" thickBot="1" x14ac:dyDescent="0.4">
      <c r="A327" s="46">
        <f t="shared" si="5"/>
        <v>325</v>
      </c>
      <c r="B327" s="47">
        <v>11558410</v>
      </c>
      <c r="C327" s="48">
        <v>41049232</v>
      </c>
      <c r="D327" s="49" t="s">
        <v>608</v>
      </c>
      <c r="E327" s="49" t="s">
        <v>609</v>
      </c>
      <c r="F327" s="49" t="s">
        <v>610</v>
      </c>
      <c r="G327" s="91" t="s">
        <v>599</v>
      </c>
      <c r="H327" s="32">
        <v>79</v>
      </c>
      <c r="I327" s="31">
        <v>84</v>
      </c>
      <c r="J327" s="99">
        <v>245</v>
      </c>
      <c r="K327" s="96">
        <v>180</v>
      </c>
      <c r="L327" s="19"/>
    </row>
    <row r="328" spans="1:12" s="1" customFormat="1" ht="15" customHeight="1" thickBot="1" x14ac:dyDescent="0.4">
      <c r="A328" s="46">
        <f t="shared" si="5"/>
        <v>326</v>
      </c>
      <c r="B328" s="47">
        <v>12163600</v>
      </c>
      <c r="C328" s="48">
        <v>41055993</v>
      </c>
      <c r="D328" s="49" t="s">
        <v>611</v>
      </c>
      <c r="E328" s="49" t="s">
        <v>612</v>
      </c>
      <c r="F328" s="49" t="s">
        <v>612</v>
      </c>
      <c r="G328" s="91" t="s">
        <v>599</v>
      </c>
      <c r="H328" s="32">
        <v>45</v>
      </c>
      <c r="I328" s="31">
        <v>47</v>
      </c>
      <c r="J328" s="99">
        <v>159</v>
      </c>
      <c r="K328" s="96">
        <v>153</v>
      </c>
      <c r="L328" s="19"/>
    </row>
    <row r="329" spans="1:12" s="1" customFormat="1" ht="15" customHeight="1" thickBot="1" x14ac:dyDescent="0.4">
      <c r="A329" s="46">
        <f t="shared" si="5"/>
        <v>327</v>
      </c>
      <c r="B329" s="47">
        <v>12527360</v>
      </c>
      <c r="C329" s="48">
        <v>41051871</v>
      </c>
      <c r="D329" s="49" t="s">
        <v>613</v>
      </c>
      <c r="E329" s="49" t="s">
        <v>614</v>
      </c>
      <c r="F329" s="49" t="s">
        <v>610</v>
      </c>
      <c r="G329" s="91" t="s">
        <v>599</v>
      </c>
      <c r="H329" s="32">
        <v>70</v>
      </c>
      <c r="I329" s="31">
        <v>72</v>
      </c>
      <c r="J329" s="99">
        <v>196</v>
      </c>
      <c r="K329" s="96">
        <v>232</v>
      </c>
      <c r="L329" s="19"/>
    </row>
    <row r="330" spans="1:12" s="1" customFormat="1" ht="15" customHeight="1" thickBot="1" x14ac:dyDescent="0.4">
      <c r="A330" s="46">
        <f t="shared" si="5"/>
        <v>328</v>
      </c>
      <c r="B330" s="47">
        <v>12533970</v>
      </c>
      <c r="C330" s="48">
        <v>41051131</v>
      </c>
      <c r="D330" s="49" t="s">
        <v>615</v>
      </c>
      <c r="E330" s="49" t="s">
        <v>612</v>
      </c>
      <c r="F330" s="49" t="s">
        <v>612</v>
      </c>
      <c r="G330" s="91" t="s">
        <v>599</v>
      </c>
      <c r="H330" s="32">
        <v>82</v>
      </c>
      <c r="I330" s="31">
        <v>71</v>
      </c>
      <c r="J330" s="99">
        <v>174</v>
      </c>
      <c r="K330" s="96">
        <v>201</v>
      </c>
      <c r="L330" s="19"/>
    </row>
    <row r="331" spans="1:12" s="1" customFormat="1" ht="15" customHeight="1" thickBot="1" x14ac:dyDescent="0.4">
      <c r="A331" s="46">
        <f t="shared" si="5"/>
        <v>329</v>
      </c>
      <c r="B331" s="47">
        <v>12595920</v>
      </c>
      <c r="C331" s="48">
        <v>41039724</v>
      </c>
      <c r="D331" s="49" t="s">
        <v>616</v>
      </c>
      <c r="E331" s="49" t="s">
        <v>617</v>
      </c>
      <c r="F331" s="49" t="s">
        <v>610</v>
      </c>
      <c r="G331" s="91" t="s">
        <v>618</v>
      </c>
      <c r="H331" s="32">
        <v>10.5</v>
      </c>
      <c r="I331" s="31">
        <v>14</v>
      </c>
      <c r="J331" s="99">
        <v>57.5</v>
      </c>
      <c r="K331" s="96">
        <v>126</v>
      </c>
      <c r="L331" s="19"/>
    </row>
    <row r="332" spans="1:12" s="1" customFormat="1" ht="15" customHeight="1" thickBot="1" x14ac:dyDescent="0.4">
      <c r="A332" s="46">
        <f t="shared" si="5"/>
        <v>330</v>
      </c>
      <c r="B332" s="47">
        <v>11641900</v>
      </c>
      <c r="C332" s="48">
        <v>41047709</v>
      </c>
      <c r="D332" s="49" t="s">
        <v>619</v>
      </c>
      <c r="E332" s="49" t="s">
        <v>620</v>
      </c>
      <c r="F332" s="49" t="s">
        <v>621</v>
      </c>
      <c r="G332" s="91" t="s">
        <v>599</v>
      </c>
      <c r="H332" s="32">
        <v>48</v>
      </c>
      <c r="I332" s="31">
        <v>70</v>
      </c>
      <c r="J332" s="99">
        <v>64</v>
      </c>
      <c r="K332" s="96">
        <v>134</v>
      </c>
      <c r="L332" s="19"/>
    </row>
    <row r="333" spans="1:12" s="1" customFormat="1" ht="15" customHeight="1" thickBot="1" x14ac:dyDescent="0.4">
      <c r="A333" s="46">
        <f t="shared" si="5"/>
        <v>331</v>
      </c>
      <c r="B333" s="47">
        <v>12550190</v>
      </c>
      <c r="C333" s="48">
        <v>41049171</v>
      </c>
      <c r="D333" s="49" t="s">
        <v>622</v>
      </c>
      <c r="E333" s="49" t="s">
        <v>623</v>
      </c>
      <c r="F333" s="49" t="s">
        <v>621</v>
      </c>
      <c r="G333" s="91" t="s">
        <v>599</v>
      </c>
      <c r="H333" s="32">
        <v>81.5</v>
      </c>
      <c r="I333" s="31">
        <v>86.5</v>
      </c>
      <c r="J333" s="99">
        <v>148.5</v>
      </c>
      <c r="K333" s="96">
        <v>161.5</v>
      </c>
      <c r="L333" s="19"/>
    </row>
    <row r="334" spans="1:12" s="1" customFormat="1" ht="15" customHeight="1" thickBot="1" x14ac:dyDescent="0.4">
      <c r="A334" s="46">
        <f t="shared" si="5"/>
        <v>332</v>
      </c>
      <c r="B334" s="47"/>
      <c r="C334" s="48">
        <v>41053025</v>
      </c>
      <c r="D334" s="49" t="s">
        <v>624</v>
      </c>
      <c r="E334" s="49" t="s">
        <v>625</v>
      </c>
      <c r="F334" s="49" t="s">
        <v>626</v>
      </c>
      <c r="G334" s="91" t="s">
        <v>599</v>
      </c>
      <c r="H334" s="32">
        <v>12</v>
      </c>
      <c r="I334" s="31">
        <v>22</v>
      </c>
      <c r="J334" s="99">
        <v>12</v>
      </c>
      <c r="K334" s="96">
        <v>26</v>
      </c>
      <c r="L334" s="19"/>
    </row>
    <row r="335" spans="1:12" s="1" customFormat="1" ht="15" customHeight="1" thickBot="1" x14ac:dyDescent="0.4">
      <c r="A335" s="46">
        <f t="shared" si="5"/>
        <v>333</v>
      </c>
      <c r="B335" s="47">
        <v>12527860</v>
      </c>
      <c r="C335" s="48">
        <v>41051938</v>
      </c>
      <c r="D335" s="49" t="s">
        <v>627</v>
      </c>
      <c r="E335" s="49" t="s">
        <v>626</v>
      </c>
      <c r="F335" s="49" t="s">
        <v>626</v>
      </c>
      <c r="G335" s="91" t="s">
        <v>599</v>
      </c>
      <c r="H335" s="32">
        <v>87</v>
      </c>
      <c r="I335" s="31">
        <v>91</v>
      </c>
      <c r="J335" s="99">
        <v>129</v>
      </c>
      <c r="K335" s="96">
        <v>181</v>
      </c>
      <c r="L335" s="19"/>
    </row>
    <row r="336" spans="1:12" s="1" customFormat="1" ht="15" customHeight="1" thickBot="1" x14ac:dyDescent="0.4">
      <c r="A336" s="46">
        <f t="shared" si="5"/>
        <v>334</v>
      </c>
      <c r="B336" s="65">
        <v>11243020</v>
      </c>
      <c r="C336" s="48">
        <v>41051664</v>
      </c>
      <c r="D336" s="49" t="s">
        <v>628</v>
      </c>
      <c r="E336" s="49" t="s">
        <v>599</v>
      </c>
      <c r="F336" s="49" t="s">
        <v>599</v>
      </c>
      <c r="G336" s="91" t="s">
        <v>599</v>
      </c>
      <c r="H336" s="32">
        <v>60</v>
      </c>
      <c r="I336" s="31">
        <v>60</v>
      </c>
      <c r="J336" s="99">
        <v>0</v>
      </c>
      <c r="K336" s="96">
        <v>0</v>
      </c>
      <c r="L336" s="19"/>
    </row>
    <row r="337" spans="1:12" s="1" customFormat="1" ht="15" customHeight="1" thickBot="1" x14ac:dyDescent="0.4">
      <c r="A337" s="46">
        <f t="shared" si="5"/>
        <v>335</v>
      </c>
      <c r="B337" s="51">
        <v>12265500</v>
      </c>
      <c r="C337" s="48">
        <v>41055289</v>
      </c>
      <c r="D337" s="49" t="s">
        <v>629</v>
      </c>
      <c r="E337" s="49" t="s">
        <v>630</v>
      </c>
      <c r="F337" s="49" t="s">
        <v>599</v>
      </c>
      <c r="G337" s="91" t="s">
        <v>599</v>
      </c>
      <c r="H337" s="32">
        <v>50</v>
      </c>
      <c r="I337" s="31">
        <v>38</v>
      </c>
      <c r="J337" s="99">
        <v>190</v>
      </c>
      <c r="K337" s="96">
        <v>194</v>
      </c>
      <c r="L337" s="19"/>
    </row>
    <row r="338" spans="1:12" s="1" customFormat="1" ht="15" customHeight="1" thickBot="1" x14ac:dyDescent="0.4">
      <c r="A338" s="46">
        <f t="shared" si="5"/>
        <v>336</v>
      </c>
      <c r="B338" s="47">
        <v>11001420</v>
      </c>
      <c r="C338" s="48">
        <v>41053720</v>
      </c>
      <c r="D338" s="49" t="s">
        <v>631</v>
      </c>
      <c r="E338" s="49" t="s">
        <v>599</v>
      </c>
      <c r="F338" s="49" t="s">
        <v>599</v>
      </c>
      <c r="G338" s="91" t="s">
        <v>599</v>
      </c>
      <c r="H338" s="32">
        <v>128</v>
      </c>
      <c r="I338" s="31">
        <v>179</v>
      </c>
      <c r="J338" s="99">
        <v>40</v>
      </c>
      <c r="K338" s="96">
        <v>45</v>
      </c>
      <c r="L338" s="19"/>
    </row>
    <row r="339" spans="1:12" s="1" customFormat="1" ht="15" customHeight="1" thickBot="1" x14ac:dyDescent="0.4">
      <c r="A339" s="46">
        <f t="shared" si="5"/>
        <v>337</v>
      </c>
      <c r="B339" s="47">
        <v>13161020</v>
      </c>
      <c r="C339" s="48">
        <v>41024095</v>
      </c>
      <c r="D339" s="49" t="s">
        <v>632</v>
      </c>
      <c r="E339" s="49" t="s">
        <v>633</v>
      </c>
      <c r="F339" s="49" t="s">
        <v>626</v>
      </c>
      <c r="G339" s="91" t="s">
        <v>599</v>
      </c>
      <c r="H339" s="32">
        <v>6</v>
      </c>
      <c r="I339" s="31">
        <v>66</v>
      </c>
      <c r="J339" s="99">
        <v>18</v>
      </c>
      <c r="K339" s="96">
        <v>126</v>
      </c>
      <c r="L339" s="19"/>
    </row>
    <row r="340" spans="1:12" s="1" customFormat="1" ht="15" customHeight="1" thickBot="1" x14ac:dyDescent="0.4">
      <c r="A340" s="46">
        <f t="shared" si="5"/>
        <v>338</v>
      </c>
      <c r="B340" s="47">
        <v>12265400</v>
      </c>
      <c r="C340" s="48">
        <v>41055288</v>
      </c>
      <c r="D340" s="49" t="s">
        <v>634</v>
      </c>
      <c r="E340" s="49" t="s">
        <v>635</v>
      </c>
      <c r="F340" s="49" t="s">
        <v>599</v>
      </c>
      <c r="G340" s="91" t="s">
        <v>599</v>
      </c>
      <c r="H340" s="32">
        <v>77</v>
      </c>
      <c r="I340" s="31">
        <v>66</v>
      </c>
      <c r="J340" s="99">
        <v>135</v>
      </c>
      <c r="K340" s="96">
        <v>142</v>
      </c>
      <c r="L340" s="19"/>
    </row>
    <row r="341" spans="1:12" s="1" customFormat="1" ht="15" customHeight="1" thickBot="1" x14ac:dyDescent="0.4">
      <c r="A341" s="63">
        <f t="shared" si="5"/>
        <v>339</v>
      </c>
      <c r="B341" s="47">
        <v>12525750</v>
      </c>
      <c r="C341" s="48">
        <v>41052451</v>
      </c>
      <c r="D341" s="49" t="s">
        <v>636</v>
      </c>
      <c r="E341" s="49" t="s">
        <v>637</v>
      </c>
      <c r="F341" s="49" t="s">
        <v>599</v>
      </c>
      <c r="G341" s="91" t="s">
        <v>599</v>
      </c>
      <c r="H341" s="32">
        <v>22</v>
      </c>
      <c r="I341" s="31">
        <v>34</v>
      </c>
      <c r="J341" s="99">
        <v>94</v>
      </c>
      <c r="K341" s="96">
        <v>122</v>
      </c>
      <c r="L341" s="19"/>
    </row>
    <row r="342" spans="1:12" s="1" customFormat="1" ht="15" customHeight="1" thickBot="1" x14ac:dyDescent="0.4">
      <c r="A342" s="46">
        <f t="shared" si="5"/>
        <v>340</v>
      </c>
      <c r="B342" s="47">
        <v>12541860</v>
      </c>
      <c r="C342" s="48">
        <v>41050502</v>
      </c>
      <c r="D342" s="49" t="s">
        <v>300</v>
      </c>
      <c r="E342" s="49" t="s">
        <v>599</v>
      </c>
      <c r="F342" s="49" t="s">
        <v>599</v>
      </c>
      <c r="G342" s="91" t="s">
        <v>599</v>
      </c>
      <c r="H342" s="32">
        <v>53</v>
      </c>
      <c r="I342" s="31">
        <v>63</v>
      </c>
      <c r="J342" s="99">
        <v>379</v>
      </c>
      <c r="K342" s="96">
        <v>361</v>
      </c>
      <c r="L342" s="19"/>
    </row>
    <row r="343" spans="1:12" s="1" customFormat="1" ht="15" customHeight="1" thickBot="1" x14ac:dyDescent="0.4">
      <c r="A343" s="46">
        <f t="shared" si="5"/>
        <v>341</v>
      </c>
      <c r="B343" s="47">
        <v>12534290</v>
      </c>
      <c r="C343" s="48">
        <v>41051188</v>
      </c>
      <c r="D343" s="49" t="s">
        <v>638</v>
      </c>
      <c r="E343" s="49" t="s">
        <v>599</v>
      </c>
      <c r="F343" s="49" t="s">
        <v>599</v>
      </c>
      <c r="G343" s="91" t="s">
        <v>599</v>
      </c>
      <c r="H343" s="32">
        <v>58</v>
      </c>
      <c r="I343" s="31">
        <v>27</v>
      </c>
      <c r="J343" s="99">
        <v>22</v>
      </c>
      <c r="K343" s="96">
        <v>9</v>
      </c>
      <c r="L343" s="19"/>
    </row>
    <row r="344" spans="1:12" s="1" customFormat="1" ht="15" customHeight="1" thickBot="1" x14ac:dyDescent="0.4">
      <c r="A344" s="46">
        <f t="shared" si="5"/>
        <v>342</v>
      </c>
      <c r="B344" s="47">
        <v>12549550</v>
      </c>
      <c r="C344" s="48">
        <v>41049843</v>
      </c>
      <c r="D344" s="49" t="s">
        <v>639</v>
      </c>
      <c r="E344" s="49" t="s">
        <v>640</v>
      </c>
      <c r="F344" s="49" t="s">
        <v>599</v>
      </c>
      <c r="G344" s="91" t="s">
        <v>599</v>
      </c>
      <c r="H344" s="32">
        <v>30</v>
      </c>
      <c r="I344" s="31">
        <v>40</v>
      </c>
      <c r="J344" s="99">
        <v>170</v>
      </c>
      <c r="K344" s="96">
        <v>200</v>
      </c>
      <c r="L344" s="19"/>
    </row>
    <row r="345" spans="1:12" s="1" customFormat="1" ht="15" customHeight="1" thickBot="1" x14ac:dyDescent="0.4">
      <c r="A345" s="46">
        <f t="shared" si="5"/>
        <v>343</v>
      </c>
      <c r="B345" s="47">
        <v>12549520</v>
      </c>
      <c r="C345" s="48">
        <v>41049841</v>
      </c>
      <c r="D345" s="49" t="s">
        <v>641</v>
      </c>
      <c r="E345" s="49" t="s">
        <v>599</v>
      </c>
      <c r="F345" s="49" t="s">
        <v>599</v>
      </c>
      <c r="G345" s="91" t="s">
        <v>599</v>
      </c>
      <c r="H345" s="32">
        <v>18</v>
      </c>
      <c r="I345" s="31">
        <v>18</v>
      </c>
      <c r="J345" s="99">
        <v>54</v>
      </c>
      <c r="K345" s="96">
        <v>30</v>
      </c>
      <c r="L345" s="19"/>
    </row>
    <row r="346" spans="1:12" s="1" customFormat="1" ht="15" customHeight="1" thickBot="1" x14ac:dyDescent="0.4">
      <c r="A346" s="46">
        <f>+A345+1</f>
        <v>344</v>
      </c>
      <c r="B346" s="73"/>
      <c r="C346" s="48">
        <v>41090416</v>
      </c>
      <c r="D346" s="49" t="s">
        <v>834</v>
      </c>
      <c r="E346" s="49" t="s">
        <v>642</v>
      </c>
      <c r="F346" s="49" t="s">
        <v>642</v>
      </c>
      <c r="G346" s="91" t="s">
        <v>599</v>
      </c>
      <c r="H346" s="32">
        <v>16</v>
      </c>
      <c r="I346" s="31">
        <v>27</v>
      </c>
      <c r="J346" s="99">
        <v>38</v>
      </c>
      <c r="K346" s="96">
        <v>69</v>
      </c>
      <c r="L346" s="19"/>
    </row>
    <row r="347" spans="1:12" s="1" customFormat="1" ht="15" customHeight="1" thickBot="1" x14ac:dyDescent="0.4">
      <c r="A347" s="46">
        <f>+A346+1</f>
        <v>345</v>
      </c>
      <c r="B347" s="52">
        <v>12586000</v>
      </c>
      <c r="C347" s="48">
        <v>41044121</v>
      </c>
      <c r="D347" s="49" t="s">
        <v>643</v>
      </c>
      <c r="E347" s="49" t="s">
        <v>644</v>
      </c>
      <c r="F347" s="49" t="s">
        <v>642</v>
      </c>
      <c r="G347" s="91" t="s">
        <v>599</v>
      </c>
      <c r="H347" s="32">
        <v>40</v>
      </c>
      <c r="I347" s="31">
        <v>40</v>
      </c>
      <c r="J347" s="99">
        <v>96</v>
      </c>
      <c r="K347" s="96">
        <v>132</v>
      </c>
      <c r="L347" s="19"/>
    </row>
    <row r="348" spans="1:12" s="1" customFormat="1" ht="15" customHeight="1" thickBot="1" x14ac:dyDescent="0.4">
      <c r="A348" s="46">
        <f t="shared" si="5"/>
        <v>346</v>
      </c>
      <c r="B348" s="53">
        <v>12592770</v>
      </c>
      <c r="C348" s="48">
        <v>41040775</v>
      </c>
      <c r="D348" s="49" t="s">
        <v>645</v>
      </c>
      <c r="E348" s="49" t="s">
        <v>394</v>
      </c>
      <c r="F348" s="49" t="s">
        <v>642</v>
      </c>
      <c r="G348" s="91" t="s">
        <v>599</v>
      </c>
      <c r="H348" s="32">
        <v>62</v>
      </c>
      <c r="I348" s="31">
        <v>85</v>
      </c>
      <c r="J348" s="99">
        <v>218</v>
      </c>
      <c r="K348" s="96">
        <v>279</v>
      </c>
      <c r="L348" s="19"/>
    </row>
    <row r="349" spans="1:12" s="1" customFormat="1" ht="15" customHeight="1" thickBot="1" x14ac:dyDescent="0.4">
      <c r="A349" s="46">
        <f t="shared" si="5"/>
        <v>347</v>
      </c>
      <c r="B349" s="47">
        <v>12516350</v>
      </c>
      <c r="C349" s="48">
        <v>41053027</v>
      </c>
      <c r="D349" s="49" t="s">
        <v>646</v>
      </c>
      <c r="E349" s="49" t="s">
        <v>647</v>
      </c>
      <c r="F349" s="49" t="s">
        <v>648</v>
      </c>
      <c r="G349" s="91" t="s">
        <v>599</v>
      </c>
      <c r="H349" s="32">
        <v>16</v>
      </c>
      <c r="I349" s="31">
        <v>16</v>
      </c>
      <c r="J349" s="99">
        <v>44</v>
      </c>
      <c r="K349" s="96">
        <v>56</v>
      </c>
      <c r="L349" s="19"/>
    </row>
    <row r="350" spans="1:12" s="1" customFormat="1" ht="15" customHeight="1" thickBot="1" x14ac:dyDescent="0.4">
      <c r="A350" s="46">
        <f t="shared" si="5"/>
        <v>348</v>
      </c>
      <c r="B350" s="47">
        <v>12525760</v>
      </c>
      <c r="C350" s="48">
        <v>41052452</v>
      </c>
      <c r="D350" s="49" t="s">
        <v>649</v>
      </c>
      <c r="E350" s="49" t="s">
        <v>648</v>
      </c>
      <c r="F350" s="49" t="s">
        <v>648</v>
      </c>
      <c r="G350" s="91" t="s">
        <v>599</v>
      </c>
      <c r="H350" s="32">
        <v>0</v>
      </c>
      <c r="I350" s="31">
        <v>0</v>
      </c>
      <c r="J350" s="99">
        <v>0</v>
      </c>
      <c r="K350" s="96">
        <v>0</v>
      </c>
      <c r="L350" s="19"/>
    </row>
    <row r="351" spans="1:12" s="1" customFormat="1" ht="15" customHeight="1" thickBot="1" x14ac:dyDescent="0.4">
      <c r="A351" s="46">
        <f t="shared" si="5"/>
        <v>349</v>
      </c>
      <c r="B351" s="56">
        <v>12550180</v>
      </c>
      <c r="C351" s="48">
        <v>41049168</v>
      </c>
      <c r="D351" s="49" t="s">
        <v>650</v>
      </c>
      <c r="E351" s="49" t="s">
        <v>651</v>
      </c>
      <c r="F351" s="49" t="s">
        <v>648</v>
      </c>
      <c r="G351" s="91" t="s">
        <v>599</v>
      </c>
      <c r="H351" s="32">
        <v>15</v>
      </c>
      <c r="I351" s="31">
        <v>17</v>
      </c>
      <c r="J351" s="99">
        <v>55</v>
      </c>
      <c r="K351" s="96">
        <v>65</v>
      </c>
      <c r="L351" s="19"/>
    </row>
    <row r="352" spans="1:12" s="1" customFormat="1" ht="15" customHeight="1" thickBot="1" x14ac:dyDescent="0.4">
      <c r="A352" s="46">
        <f t="shared" si="5"/>
        <v>350</v>
      </c>
      <c r="B352" s="47">
        <v>11027210</v>
      </c>
      <c r="C352" s="48">
        <v>41052768</v>
      </c>
      <c r="D352" s="49" t="s">
        <v>652</v>
      </c>
      <c r="E352" s="49" t="s">
        <v>648</v>
      </c>
      <c r="F352" s="49" t="s">
        <v>648</v>
      </c>
      <c r="G352" s="91" t="s">
        <v>599</v>
      </c>
      <c r="H352" s="32">
        <v>170</v>
      </c>
      <c r="I352" s="31">
        <v>145</v>
      </c>
      <c r="J352" s="99">
        <v>290</v>
      </c>
      <c r="K352" s="96">
        <v>295</v>
      </c>
      <c r="L352" s="19"/>
    </row>
    <row r="353" spans="1:12" s="1" customFormat="1" ht="15" customHeight="1" thickBot="1" x14ac:dyDescent="0.4">
      <c r="A353" s="46">
        <f t="shared" si="5"/>
        <v>351</v>
      </c>
      <c r="B353" s="47">
        <v>12595960</v>
      </c>
      <c r="C353" s="48">
        <v>41037552</v>
      </c>
      <c r="D353" s="49" t="s">
        <v>653</v>
      </c>
      <c r="E353" s="49" t="s">
        <v>654</v>
      </c>
      <c r="F353" s="49" t="s">
        <v>648</v>
      </c>
      <c r="G353" s="91" t="s">
        <v>618</v>
      </c>
      <c r="H353" s="32">
        <v>23</v>
      </c>
      <c r="I353" s="31">
        <v>38</v>
      </c>
      <c r="J353" s="99">
        <v>57</v>
      </c>
      <c r="K353" s="96">
        <v>102</v>
      </c>
      <c r="L353" s="19"/>
    </row>
    <row r="354" spans="1:12" s="1" customFormat="1" ht="15" customHeight="1" thickBot="1" x14ac:dyDescent="0.4">
      <c r="A354" s="46">
        <f t="shared" si="5"/>
        <v>352</v>
      </c>
      <c r="B354" s="47">
        <v>12551570</v>
      </c>
      <c r="C354" s="48">
        <v>41049330</v>
      </c>
      <c r="D354" s="49" t="s">
        <v>655</v>
      </c>
      <c r="E354" s="49" t="s">
        <v>599</v>
      </c>
      <c r="F354" s="49" t="s">
        <v>599</v>
      </c>
      <c r="G354" s="91" t="s">
        <v>599</v>
      </c>
      <c r="H354" s="32">
        <v>51</v>
      </c>
      <c r="I354" s="31">
        <v>60</v>
      </c>
      <c r="J354" s="99">
        <v>153</v>
      </c>
      <c r="K354" s="96">
        <v>156</v>
      </c>
      <c r="L354" s="19"/>
    </row>
    <row r="355" spans="1:12" s="1" customFormat="1" ht="15" customHeight="1" thickBot="1" x14ac:dyDescent="0.4">
      <c r="A355" s="46">
        <f t="shared" si="5"/>
        <v>353</v>
      </c>
      <c r="B355" s="47">
        <v>12570330</v>
      </c>
      <c r="C355" s="48">
        <v>41044677</v>
      </c>
      <c r="D355" s="49" t="s">
        <v>656</v>
      </c>
      <c r="E355" s="49" t="s">
        <v>657</v>
      </c>
      <c r="F355" s="49" t="s">
        <v>599</v>
      </c>
      <c r="G355" s="91" t="s">
        <v>599</v>
      </c>
      <c r="H355" s="32">
        <v>95</v>
      </c>
      <c r="I355" s="31">
        <v>125</v>
      </c>
      <c r="J355" s="99">
        <v>197</v>
      </c>
      <c r="K355" s="96">
        <v>275</v>
      </c>
      <c r="L355" s="19"/>
    </row>
    <row r="356" spans="1:12" s="1" customFormat="1" ht="15" customHeight="1" thickBot="1" x14ac:dyDescent="0.4">
      <c r="A356" s="46">
        <f t="shared" si="5"/>
        <v>354</v>
      </c>
      <c r="B356" s="47">
        <v>12579100</v>
      </c>
      <c r="C356" s="48">
        <v>41043313</v>
      </c>
      <c r="D356" s="49" t="s">
        <v>658</v>
      </c>
      <c r="E356" s="49" t="s">
        <v>659</v>
      </c>
      <c r="F356" s="49" t="s">
        <v>599</v>
      </c>
      <c r="G356" s="91" t="s">
        <v>599</v>
      </c>
      <c r="H356" s="32">
        <v>66</v>
      </c>
      <c r="I356" s="31">
        <v>66</v>
      </c>
      <c r="J356" s="99">
        <v>126</v>
      </c>
      <c r="K356" s="96">
        <v>138</v>
      </c>
      <c r="L356" s="19"/>
    </row>
    <row r="357" spans="1:12" s="1" customFormat="1" ht="15" customHeight="1" thickBot="1" x14ac:dyDescent="0.4">
      <c r="A357" s="46">
        <f t="shared" si="5"/>
        <v>355</v>
      </c>
      <c r="B357" s="47"/>
      <c r="C357" s="48">
        <v>41091051</v>
      </c>
      <c r="D357" s="49" t="s">
        <v>836</v>
      </c>
      <c r="E357" s="49" t="s">
        <v>660</v>
      </c>
      <c r="F357" s="49" t="s">
        <v>598</v>
      </c>
      <c r="G357" s="91" t="s">
        <v>599</v>
      </c>
      <c r="H357" s="32">
        <v>0</v>
      </c>
      <c r="I357" s="31">
        <v>18</v>
      </c>
      <c r="J357" s="99">
        <v>0</v>
      </c>
      <c r="K357" s="96">
        <v>24</v>
      </c>
      <c r="L357" s="19"/>
    </row>
    <row r="358" spans="1:12" s="1" customFormat="1" ht="15" customHeight="1" thickBot="1" x14ac:dyDescent="0.4">
      <c r="A358" s="46">
        <f t="shared" si="5"/>
        <v>356</v>
      </c>
      <c r="B358" s="47">
        <v>12607040</v>
      </c>
      <c r="C358" s="48">
        <v>41034686</v>
      </c>
      <c r="D358" s="49" t="s">
        <v>661</v>
      </c>
      <c r="E358" s="49" t="s">
        <v>630</v>
      </c>
      <c r="F358" s="49" t="s">
        <v>599</v>
      </c>
      <c r="G358" s="91" t="s">
        <v>599</v>
      </c>
      <c r="H358" s="32">
        <v>78</v>
      </c>
      <c r="I358" s="31">
        <v>87</v>
      </c>
      <c r="J358" s="99">
        <v>602</v>
      </c>
      <c r="K358" s="96">
        <v>671</v>
      </c>
      <c r="L358" s="19"/>
    </row>
    <row r="359" spans="1:12" s="1" customFormat="1" ht="15" customHeight="1" thickBot="1" x14ac:dyDescent="0.4">
      <c r="A359" s="46">
        <f t="shared" si="5"/>
        <v>357</v>
      </c>
      <c r="B359" s="47">
        <v>12607870</v>
      </c>
      <c r="C359" s="48">
        <v>41065320</v>
      </c>
      <c r="D359" s="49" t="s">
        <v>662</v>
      </c>
      <c r="E359" s="49" t="s">
        <v>663</v>
      </c>
      <c r="F359" s="49" t="s">
        <v>648</v>
      </c>
      <c r="G359" s="91" t="s">
        <v>599</v>
      </c>
      <c r="H359" s="32">
        <v>39</v>
      </c>
      <c r="I359" s="31">
        <v>42</v>
      </c>
      <c r="J359" s="99">
        <v>69</v>
      </c>
      <c r="K359" s="96">
        <v>90</v>
      </c>
      <c r="L359" s="19"/>
    </row>
    <row r="360" spans="1:12" s="1" customFormat="1" ht="15" customHeight="1" thickBot="1" x14ac:dyDescent="0.4">
      <c r="A360" s="46">
        <f t="shared" si="5"/>
        <v>358</v>
      </c>
      <c r="B360" s="47"/>
      <c r="C360" s="48">
        <v>41070059</v>
      </c>
      <c r="D360" s="49" t="s">
        <v>664</v>
      </c>
      <c r="E360" s="57" t="s">
        <v>665</v>
      </c>
      <c r="F360" s="49" t="s">
        <v>599</v>
      </c>
      <c r="G360" s="92" t="s">
        <v>599</v>
      </c>
      <c r="H360" s="32">
        <v>44</v>
      </c>
      <c r="I360" s="31">
        <v>0</v>
      </c>
      <c r="J360" s="99">
        <v>44</v>
      </c>
      <c r="K360" s="96">
        <v>0</v>
      </c>
      <c r="L360" s="19"/>
    </row>
    <row r="361" spans="1:12" s="1" customFormat="1" ht="15" customHeight="1" thickBot="1" x14ac:dyDescent="0.4">
      <c r="A361" s="46">
        <f t="shared" si="5"/>
        <v>359</v>
      </c>
      <c r="B361" s="47"/>
      <c r="C361" s="48">
        <v>41038828</v>
      </c>
      <c r="D361" s="49" t="s">
        <v>666</v>
      </c>
      <c r="E361" s="57" t="s">
        <v>667</v>
      </c>
      <c r="F361" s="49" t="s">
        <v>642</v>
      </c>
      <c r="G361" s="92" t="s">
        <v>599</v>
      </c>
      <c r="H361" s="32">
        <v>0</v>
      </c>
      <c r="I361" s="31">
        <v>0</v>
      </c>
      <c r="J361" s="99">
        <v>0</v>
      </c>
      <c r="K361" s="96">
        <v>0</v>
      </c>
      <c r="L361" s="19"/>
    </row>
    <row r="362" spans="1:12" s="1" customFormat="1" ht="15" customHeight="1" thickBot="1" x14ac:dyDescent="0.4">
      <c r="A362" s="46">
        <f t="shared" si="5"/>
        <v>360</v>
      </c>
      <c r="B362" s="47"/>
      <c r="C362" s="48">
        <v>41071721</v>
      </c>
      <c r="D362" s="49" t="s">
        <v>668</v>
      </c>
      <c r="E362" s="57" t="s">
        <v>605</v>
      </c>
      <c r="F362" s="49" t="s">
        <v>605</v>
      </c>
      <c r="G362" s="92" t="s">
        <v>599</v>
      </c>
      <c r="H362" s="32">
        <v>95</v>
      </c>
      <c r="I362" s="31">
        <v>130</v>
      </c>
      <c r="J362" s="99">
        <v>177</v>
      </c>
      <c r="K362" s="96">
        <v>210</v>
      </c>
      <c r="L362" s="19"/>
    </row>
    <row r="363" spans="1:12" s="1" customFormat="1" ht="15" customHeight="1" thickBot="1" x14ac:dyDescent="0.4">
      <c r="A363" s="46">
        <f t="shared" si="5"/>
        <v>361</v>
      </c>
      <c r="B363" s="47"/>
      <c r="C363" s="48">
        <v>41073397</v>
      </c>
      <c r="D363" s="49" t="s">
        <v>669</v>
      </c>
      <c r="E363" s="57" t="s">
        <v>670</v>
      </c>
      <c r="F363" s="49" t="s">
        <v>610</v>
      </c>
      <c r="G363" s="92" t="s">
        <v>599</v>
      </c>
      <c r="H363" s="32">
        <v>40</v>
      </c>
      <c r="I363" s="31">
        <v>47</v>
      </c>
      <c r="J363" s="99">
        <v>80</v>
      </c>
      <c r="K363" s="96">
        <v>121</v>
      </c>
      <c r="L363" s="19"/>
    </row>
    <row r="364" spans="1:12" s="1" customFormat="1" ht="15" customHeight="1" thickBot="1" x14ac:dyDescent="0.4">
      <c r="A364" s="46">
        <f t="shared" si="5"/>
        <v>362</v>
      </c>
      <c r="B364" s="47"/>
      <c r="C364" s="48">
        <v>41075608</v>
      </c>
      <c r="D364" s="49" t="s">
        <v>671</v>
      </c>
      <c r="E364" s="57" t="s">
        <v>672</v>
      </c>
      <c r="F364" s="49" t="s">
        <v>621</v>
      </c>
      <c r="G364" s="92" t="s">
        <v>599</v>
      </c>
      <c r="H364" s="32">
        <v>0</v>
      </c>
      <c r="I364" s="31">
        <v>50</v>
      </c>
      <c r="J364" s="99">
        <v>0</v>
      </c>
      <c r="K364" s="96">
        <v>178</v>
      </c>
      <c r="L364" s="19"/>
    </row>
    <row r="365" spans="1:12" s="1" customFormat="1" ht="15" customHeight="1" thickBot="1" x14ac:dyDescent="0.4">
      <c r="A365" s="46">
        <f t="shared" si="5"/>
        <v>363</v>
      </c>
      <c r="B365" s="47"/>
      <c r="C365" s="48">
        <v>41075584</v>
      </c>
      <c r="D365" s="49" t="s">
        <v>673</v>
      </c>
      <c r="E365" s="57" t="s">
        <v>674</v>
      </c>
      <c r="F365" s="49" t="s">
        <v>599</v>
      </c>
      <c r="G365" s="92" t="s">
        <v>599</v>
      </c>
      <c r="H365" s="32">
        <v>89</v>
      </c>
      <c r="I365" s="31">
        <v>69</v>
      </c>
      <c r="J365" s="99">
        <v>195</v>
      </c>
      <c r="K365" s="96">
        <v>231</v>
      </c>
      <c r="L365" s="19"/>
    </row>
    <row r="366" spans="1:12" s="1" customFormat="1" ht="15" customHeight="1" thickBot="1" x14ac:dyDescent="0.4">
      <c r="A366" s="46">
        <f t="shared" si="5"/>
        <v>364</v>
      </c>
      <c r="B366" s="47"/>
      <c r="C366" s="48">
        <v>41073922</v>
      </c>
      <c r="D366" s="49" t="s">
        <v>675</v>
      </c>
      <c r="E366" s="49" t="s">
        <v>676</v>
      </c>
      <c r="F366" s="49" t="s">
        <v>598</v>
      </c>
      <c r="G366" s="91" t="s">
        <v>599</v>
      </c>
      <c r="H366" s="32">
        <v>47</v>
      </c>
      <c r="I366" s="31">
        <v>45</v>
      </c>
      <c r="J366" s="99">
        <v>117</v>
      </c>
      <c r="K366" s="96">
        <v>111</v>
      </c>
      <c r="L366" s="19"/>
    </row>
    <row r="367" spans="1:12" s="1" customFormat="1" ht="15" customHeight="1" thickBot="1" x14ac:dyDescent="0.4">
      <c r="A367" s="46">
        <f t="shared" si="5"/>
        <v>365</v>
      </c>
      <c r="B367" s="47"/>
      <c r="C367" s="48">
        <v>41084096</v>
      </c>
      <c r="D367" s="49" t="s">
        <v>677</v>
      </c>
      <c r="E367" s="57" t="s">
        <v>678</v>
      </c>
      <c r="F367" s="49" t="s">
        <v>605</v>
      </c>
      <c r="G367" s="91" t="s">
        <v>599</v>
      </c>
      <c r="H367" s="32">
        <v>0</v>
      </c>
      <c r="I367" s="31">
        <v>43</v>
      </c>
      <c r="J367" s="99">
        <v>0</v>
      </c>
      <c r="K367" s="96">
        <v>125</v>
      </c>
      <c r="L367" s="19"/>
    </row>
    <row r="368" spans="1:12" s="1" customFormat="1" ht="15" customHeight="1" thickBot="1" x14ac:dyDescent="0.4">
      <c r="A368" s="46">
        <f t="shared" si="5"/>
        <v>366</v>
      </c>
      <c r="B368" s="47"/>
      <c r="C368" s="48">
        <v>41088832</v>
      </c>
      <c r="D368" s="49" t="s">
        <v>679</v>
      </c>
      <c r="E368" s="57" t="s">
        <v>680</v>
      </c>
      <c r="F368" s="49" t="s">
        <v>599</v>
      </c>
      <c r="G368" s="91" t="s">
        <v>599</v>
      </c>
      <c r="H368" s="32">
        <v>0</v>
      </c>
      <c r="I368" s="31">
        <v>49</v>
      </c>
      <c r="J368" s="99">
        <v>0</v>
      </c>
      <c r="K368" s="96">
        <v>105</v>
      </c>
      <c r="L368" s="19"/>
    </row>
    <row r="369" spans="1:12" s="1" customFormat="1" ht="15" customHeight="1" thickBot="1" x14ac:dyDescent="0.4">
      <c r="A369" s="46">
        <f t="shared" si="5"/>
        <v>367</v>
      </c>
      <c r="B369" s="47">
        <v>12556420</v>
      </c>
      <c r="C369" s="48">
        <v>41048433</v>
      </c>
      <c r="D369" s="49" t="s">
        <v>681</v>
      </c>
      <c r="E369" s="57" t="s">
        <v>682</v>
      </c>
      <c r="F369" s="49" t="s">
        <v>599</v>
      </c>
      <c r="G369" s="91" t="s">
        <v>599</v>
      </c>
      <c r="H369" s="32">
        <v>35</v>
      </c>
      <c r="I369" s="31">
        <v>40</v>
      </c>
      <c r="J369" s="99">
        <v>225</v>
      </c>
      <c r="K369" s="96">
        <v>200</v>
      </c>
      <c r="L369" s="19"/>
    </row>
    <row r="370" spans="1:12" s="1" customFormat="1" ht="15" customHeight="1" thickBot="1" x14ac:dyDescent="0.4">
      <c r="A370" s="46">
        <f t="shared" si="5"/>
        <v>368</v>
      </c>
      <c r="B370" s="47">
        <v>11089020</v>
      </c>
      <c r="C370" s="48">
        <v>41052389</v>
      </c>
      <c r="D370" s="49" t="s">
        <v>683</v>
      </c>
      <c r="E370" s="49" t="s">
        <v>684</v>
      </c>
      <c r="F370" s="49" t="s">
        <v>684</v>
      </c>
      <c r="G370" s="91" t="s">
        <v>159</v>
      </c>
      <c r="H370" s="32">
        <v>80</v>
      </c>
      <c r="I370" s="31">
        <v>0</v>
      </c>
      <c r="J370" s="99">
        <v>120</v>
      </c>
      <c r="K370" s="96">
        <v>0</v>
      </c>
      <c r="L370" s="19"/>
    </row>
    <row r="371" spans="1:12" s="1" customFormat="1" ht="15" customHeight="1" thickBot="1" x14ac:dyDescent="0.4">
      <c r="A371" s="46">
        <f t="shared" si="5"/>
        <v>369</v>
      </c>
      <c r="B371" s="47">
        <v>11735300</v>
      </c>
      <c r="C371" s="48">
        <v>41042496</v>
      </c>
      <c r="D371" s="49" t="s">
        <v>685</v>
      </c>
      <c r="E371" s="49" t="s">
        <v>684</v>
      </c>
      <c r="F371" s="49" t="s">
        <v>684</v>
      </c>
      <c r="G371" s="91" t="s">
        <v>159</v>
      </c>
      <c r="H371" s="32">
        <v>65</v>
      </c>
      <c r="I371" s="31">
        <v>120</v>
      </c>
      <c r="J371" s="99">
        <v>95</v>
      </c>
      <c r="K371" s="96">
        <v>260</v>
      </c>
      <c r="L371" s="19"/>
    </row>
    <row r="372" spans="1:12" s="1" customFormat="1" ht="15" customHeight="1" thickBot="1" x14ac:dyDescent="0.4">
      <c r="A372" s="46">
        <f t="shared" si="5"/>
        <v>370</v>
      </c>
      <c r="B372" s="47">
        <v>12540100</v>
      </c>
      <c r="C372" s="48">
        <v>41051016</v>
      </c>
      <c r="D372" s="49" t="s">
        <v>686</v>
      </c>
      <c r="E372" s="49" t="s">
        <v>687</v>
      </c>
      <c r="F372" s="49" t="s">
        <v>684</v>
      </c>
      <c r="G372" s="91" t="s">
        <v>159</v>
      </c>
      <c r="H372" s="32">
        <v>24</v>
      </c>
      <c r="I372" s="31">
        <v>28</v>
      </c>
      <c r="J372" s="99">
        <v>48</v>
      </c>
      <c r="K372" s="96">
        <v>44</v>
      </c>
      <c r="L372" s="19"/>
    </row>
    <row r="373" spans="1:12" s="1" customFormat="1" ht="15" customHeight="1" thickBot="1" x14ac:dyDescent="0.4">
      <c r="A373" s="46">
        <f t="shared" si="5"/>
        <v>371</v>
      </c>
      <c r="B373" s="47">
        <v>12541060</v>
      </c>
      <c r="C373" s="48">
        <v>41050409</v>
      </c>
      <c r="D373" s="49" t="s">
        <v>688</v>
      </c>
      <c r="E373" s="49" t="s">
        <v>684</v>
      </c>
      <c r="F373" s="49" t="s">
        <v>684</v>
      </c>
      <c r="G373" s="91" t="s">
        <v>159</v>
      </c>
      <c r="H373" s="32">
        <v>89</v>
      </c>
      <c r="I373" s="31">
        <v>64.5</v>
      </c>
      <c r="J373" s="99">
        <v>147</v>
      </c>
      <c r="K373" s="96">
        <v>141.5</v>
      </c>
      <c r="L373" s="19"/>
    </row>
    <row r="374" spans="1:12" s="1" customFormat="1" ht="15" customHeight="1" thickBot="1" x14ac:dyDescent="0.4">
      <c r="A374" s="46">
        <f t="shared" si="5"/>
        <v>372</v>
      </c>
      <c r="B374" s="47">
        <v>12592750</v>
      </c>
      <c r="C374" s="48">
        <v>41040769</v>
      </c>
      <c r="D374" s="49" t="s">
        <v>689</v>
      </c>
      <c r="E374" s="49" t="s">
        <v>684</v>
      </c>
      <c r="F374" s="49" t="s">
        <v>684</v>
      </c>
      <c r="G374" s="91" t="s">
        <v>159</v>
      </c>
      <c r="H374" s="32">
        <v>42</v>
      </c>
      <c r="I374" s="31">
        <v>0</v>
      </c>
      <c r="J374" s="99">
        <v>64</v>
      </c>
      <c r="K374" s="96">
        <v>0</v>
      </c>
      <c r="L374" s="19"/>
    </row>
    <row r="375" spans="1:12" s="1" customFormat="1" ht="15" customHeight="1" thickBot="1" x14ac:dyDescent="0.4">
      <c r="A375" s="46">
        <f t="shared" si="5"/>
        <v>373</v>
      </c>
      <c r="B375" s="47">
        <v>12203800</v>
      </c>
      <c r="C375" s="48">
        <v>41055557</v>
      </c>
      <c r="D375" s="49" t="s">
        <v>690</v>
      </c>
      <c r="E375" s="49" t="s">
        <v>691</v>
      </c>
      <c r="F375" s="49" t="s">
        <v>691</v>
      </c>
      <c r="G375" s="91" t="s">
        <v>159</v>
      </c>
      <c r="H375" s="32">
        <v>48</v>
      </c>
      <c r="I375" s="31">
        <v>45</v>
      </c>
      <c r="J375" s="99">
        <v>36</v>
      </c>
      <c r="K375" s="96">
        <v>51</v>
      </c>
      <c r="L375" s="19"/>
    </row>
    <row r="376" spans="1:12" s="1" customFormat="1" ht="15" customHeight="1" thickBot="1" x14ac:dyDescent="0.4">
      <c r="A376" s="46">
        <f t="shared" si="5"/>
        <v>374</v>
      </c>
      <c r="B376" s="47">
        <v>12525030</v>
      </c>
      <c r="C376" s="48">
        <v>41052358</v>
      </c>
      <c r="D376" s="49" t="s">
        <v>692</v>
      </c>
      <c r="E376" s="49" t="s">
        <v>693</v>
      </c>
      <c r="F376" s="49" t="s">
        <v>693</v>
      </c>
      <c r="G376" s="91" t="s">
        <v>159</v>
      </c>
      <c r="H376" s="32">
        <v>32</v>
      </c>
      <c r="I376" s="31">
        <v>52</v>
      </c>
      <c r="J376" s="99">
        <v>88</v>
      </c>
      <c r="K376" s="96">
        <v>116</v>
      </c>
      <c r="L376" s="19"/>
    </row>
    <row r="377" spans="1:12" s="1" customFormat="1" ht="15" customHeight="1" thickBot="1" x14ac:dyDescent="0.4">
      <c r="A377" s="46">
        <f t="shared" si="5"/>
        <v>375</v>
      </c>
      <c r="B377" s="47">
        <v>12540090</v>
      </c>
      <c r="C377" s="48">
        <v>41051015</v>
      </c>
      <c r="D377" s="49" t="s">
        <v>694</v>
      </c>
      <c r="E377" s="49" t="s">
        <v>371</v>
      </c>
      <c r="F377" s="49" t="s">
        <v>693</v>
      </c>
      <c r="G377" s="91" t="s">
        <v>159</v>
      </c>
      <c r="H377" s="32">
        <v>4</v>
      </c>
      <c r="I377" s="31">
        <v>23</v>
      </c>
      <c r="J377" s="99">
        <v>8</v>
      </c>
      <c r="K377" s="96">
        <v>73</v>
      </c>
      <c r="L377" s="19"/>
    </row>
    <row r="378" spans="1:12" s="1" customFormat="1" ht="15" customHeight="1" thickBot="1" x14ac:dyDescent="0.4">
      <c r="A378" s="46">
        <f t="shared" si="5"/>
        <v>376</v>
      </c>
      <c r="B378" s="47">
        <v>11478420</v>
      </c>
      <c r="C378" s="48">
        <v>41049909</v>
      </c>
      <c r="D378" s="49" t="s">
        <v>695</v>
      </c>
      <c r="E378" s="49" t="s">
        <v>696</v>
      </c>
      <c r="F378" s="49" t="s">
        <v>697</v>
      </c>
      <c r="G378" s="91" t="s">
        <v>159</v>
      </c>
      <c r="H378" s="32">
        <v>8</v>
      </c>
      <c r="I378" s="31">
        <v>23</v>
      </c>
      <c r="J378" s="99">
        <v>64.02</v>
      </c>
      <c r="K378" s="96">
        <v>95.02</v>
      </c>
      <c r="L378" s="19"/>
    </row>
    <row r="379" spans="1:12" s="1" customFormat="1" ht="15" customHeight="1" thickBot="1" x14ac:dyDescent="0.4">
      <c r="A379" s="46">
        <f>+A378+1</f>
        <v>377</v>
      </c>
      <c r="B379" s="47"/>
      <c r="C379" s="48">
        <v>41090003</v>
      </c>
      <c r="D379" s="49" t="s">
        <v>698</v>
      </c>
      <c r="E379" s="49" t="s">
        <v>697</v>
      </c>
      <c r="F379" s="49" t="s">
        <v>697</v>
      </c>
      <c r="G379" s="91" t="s">
        <v>159</v>
      </c>
      <c r="H379" s="32">
        <v>94</v>
      </c>
      <c r="I379" s="31">
        <v>58</v>
      </c>
      <c r="J379" s="99">
        <v>124</v>
      </c>
      <c r="K379" s="96">
        <v>78</v>
      </c>
      <c r="L379" s="19"/>
    </row>
    <row r="380" spans="1:12" s="1" customFormat="1" ht="15" customHeight="1" thickBot="1" x14ac:dyDescent="0.4">
      <c r="A380" s="46">
        <f>+A379+1</f>
        <v>378</v>
      </c>
      <c r="B380" s="47">
        <v>12525060</v>
      </c>
      <c r="C380" s="48">
        <v>41052362</v>
      </c>
      <c r="D380" s="49" t="s">
        <v>699</v>
      </c>
      <c r="E380" s="49" t="s">
        <v>697</v>
      </c>
      <c r="F380" s="49" t="s">
        <v>697</v>
      </c>
      <c r="G380" s="91" t="s">
        <v>159</v>
      </c>
      <c r="H380" s="32">
        <v>43</v>
      </c>
      <c r="I380" s="31">
        <v>52</v>
      </c>
      <c r="J380" s="99">
        <v>125</v>
      </c>
      <c r="K380" s="96">
        <v>214</v>
      </c>
      <c r="L380" s="19"/>
    </row>
    <row r="381" spans="1:12" s="1" customFormat="1" ht="15" customHeight="1" thickBot="1" x14ac:dyDescent="0.4">
      <c r="A381" s="46">
        <f>+A380+1</f>
        <v>379</v>
      </c>
      <c r="B381" s="47">
        <v>12530620</v>
      </c>
      <c r="C381" s="48">
        <v>41051582</v>
      </c>
      <c r="D381" s="49" t="s">
        <v>700</v>
      </c>
      <c r="E381" s="49" t="s">
        <v>697</v>
      </c>
      <c r="F381" s="49" t="s">
        <v>697</v>
      </c>
      <c r="G381" s="91" t="s">
        <v>159</v>
      </c>
      <c r="H381" s="32">
        <v>28</v>
      </c>
      <c r="I381" s="31">
        <v>32</v>
      </c>
      <c r="J381" s="99">
        <v>20</v>
      </c>
      <c r="K381" s="96">
        <v>52</v>
      </c>
      <c r="L381" s="19"/>
    </row>
    <row r="382" spans="1:12" s="1" customFormat="1" ht="15" customHeight="1" thickBot="1" x14ac:dyDescent="0.4">
      <c r="A382" s="46">
        <f t="shared" si="5"/>
        <v>380</v>
      </c>
      <c r="B382" s="47">
        <v>12534460</v>
      </c>
      <c r="C382" s="48">
        <v>41051217</v>
      </c>
      <c r="D382" s="49" t="s">
        <v>701</v>
      </c>
      <c r="E382" s="49" t="s">
        <v>702</v>
      </c>
      <c r="F382" s="49" t="s">
        <v>697</v>
      </c>
      <c r="G382" s="91" t="s">
        <v>159</v>
      </c>
      <c r="H382" s="32">
        <v>69</v>
      </c>
      <c r="I382" s="31">
        <v>63.5</v>
      </c>
      <c r="J382" s="99">
        <v>183</v>
      </c>
      <c r="K382" s="96">
        <v>168.5</v>
      </c>
      <c r="L382" s="19"/>
    </row>
    <row r="383" spans="1:12" s="1" customFormat="1" ht="15" customHeight="1" thickBot="1" x14ac:dyDescent="0.4">
      <c r="A383" s="46">
        <f t="shared" si="5"/>
        <v>381</v>
      </c>
      <c r="B383" s="47">
        <v>12518790</v>
      </c>
      <c r="C383" s="48">
        <v>41053215</v>
      </c>
      <c r="D383" s="49" t="s">
        <v>703</v>
      </c>
      <c r="E383" s="49" t="s">
        <v>704</v>
      </c>
      <c r="F383" s="49" t="s">
        <v>704</v>
      </c>
      <c r="G383" s="91" t="s">
        <v>159</v>
      </c>
      <c r="H383" s="32">
        <v>3</v>
      </c>
      <c r="I383" s="31">
        <v>0</v>
      </c>
      <c r="J383" s="99">
        <v>9</v>
      </c>
      <c r="K383" s="96">
        <v>0</v>
      </c>
      <c r="L383" s="19"/>
    </row>
    <row r="384" spans="1:12" s="1" customFormat="1" ht="15" customHeight="1" thickBot="1" x14ac:dyDescent="0.4">
      <c r="A384" s="46">
        <f t="shared" si="5"/>
        <v>382</v>
      </c>
      <c r="B384" s="47">
        <v>12585840</v>
      </c>
      <c r="C384" s="48">
        <v>41044068</v>
      </c>
      <c r="D384" s="49" t="s">
        <v>705</v>
      </c>
      <c r="E384" s="49" t="s">
        <v>706</v>
      </c>
      <c r="F384" s="49" t="s">
        <v>704</v>
      </c>
      <c r="G384" s="91" t="s">
        <v>159</v>
      </c>
      <c r="H384" s="32">
        <v>79</v>
      </c>
      <c r="I384" s="31">
        <v>76</v>
      </c>
      <c r="J384" s="99">
        <v>187</v>
      </c>
      <c r="K384" s="96">
        <v>176</v>
      </c>
      <c r="L384" s="19"/>
    </row>
    <row r="385" spans="1:12" s="1" customFormat="1" ht="15" customHeight="1" thickBot="1" x14ac:dyDescent="0.4">
      <c r="A385" s="46">
        <f t="shared" si="5"/>
        <v>383</v>
      </c>
      <c r="B385" s="47">
        <v>12585850</v>
      </c>
      <c r="C385" s="48">
        <v>41044071</v>
      </c>
      <c r="D385" s="49" t="s">
        <v>707</v>
      </c>
      <c r="E385" s="49" t="s">
        <v>708</v>
      </c>
      <c r="F385" s="49" t="s">
        <v>704</v>
      </c>
      <c r="G385" s="91" t="s">
        <v>159</v>
      </c>
      <c r="H385" s="32">
        <v>55</v>
      </c>
      <c r="I385" s="31">
        <v>69.5</v>
      </c>
      <c r="J385" s="99">
        <v>120</v>
      </c>
      <c r="K385" s="96">
        <v>148.5</v>
      </c>
      <c r="L385" s="19"/>
    </row>
    <row r="386" spans="1:12" s="1" customFormat="1" ht="15" customHeight="1" thickBot="1" x14ac:dyDescent="0.4">
      <c r="A386" s="46">
        <f t="shared" si="5"/>
        <v>384</v>
      </c>
      <c r="B386" s="72"/>
      <c r="C386" s="70">
        <v>41077929</v>
      </c>
      <c r="D386" s="49" t="s">
        <v>709</v>
      </c>
      <c r="E386" s="49" t="s">
        <v>710</v>
      </c>
      <c r="F386" s="49" t="s">
        <v>697</v>
      </c>
      <c r="G386" s="91" t="s">
        <v>159</v>
      </c>
      <c r="H386" s="32">
        <v>38</v>
      </c>
      <c r="I386" s="31">
        <v>29.5</v>
      </c>
      <c r="J386" s="99">
        <v>130</v>
      </c>
      <c r="K386" s="96">
        <v>122.5</v>
      </c>
      <c r="L386" s="19"/>
    </row>
    <row r="387" spans="1:12" s="1" customFormat="1" ht="15" customHeight="1" thickBot="1" x14ac:dyDescent="0.4">
      <c r="A387" s="46">
        <f t="shared" si="5"/>
        <v>385</v>
      </c>
      <c r="B387" s="72">
        <v>12607830</v>
      </c>
      <c r="C387" s="48">
        <v>41034705</v>
      </c>
      <c r="D387" s="49" t="s">
        <v>711</v>
      </c>
      <c r="E387" s="49" t="s">
        <v>712</v>
      </c>
      <c r="F387" s="49" t="s">
        <v>684</v>
      </c>
      <c r="G387" s="91" t="s">
        <v>159</v>
      </c>
      <c r="H387" s="32">
        <v>20.5</v>
      </c>
      <c r="I387" s="31">
        <v>20</v>
      </c>
      <c r="J387" s="99">
        <v>57.5</v>
      </c>
      <c r="K387" s="96">
        <v>88</v>
      </c>
      <c r="L387" s="19"/>
    </row>
    <row r="388" spans="1:12" s="1" customFormat="1" ht="15" customHeight="1" thickBot="1" x14ac:dyDescent="0.4">
      <c r="A388" s="46">
        <f t="shared" ref="A388:A451" si="6">+A387+1</f>
        <v>386</v>
      </c>
      <c r="B388" s="72"/>
      <c r="C388" s="48">
        <v>41071578</v>
      </c>
      <c r="D388" s="49" t="s">
        <v>713</v>
      </c>
      <c r="E388" s="57" t="s">
        <v>371</v>
      </c>
      <c r="F388" s="49" t="s">
        <v>693</v>
      </c>
      <c r="G388" s="91" t="s">
        <v>159</v>
      </c>
      <c r="H388" s="32">
        <v>4</v>
      </c>
      <c r="I388" s="31">
        <v>4</v>
      </c>
      <c r="J388" s="99">
        <v>8</v>
      </c>
      <c r="K388" s="96">
        <v>8</v>
      </c>
      <c r="L388" s="19"/>
    </row>
    <row r="389" spans="1:12" s="1" customFormat="1" ht="15" customHeight="1" thickBot="1" x14ac:dyDescent="0.4">
      <c r="A389" s="46">
        <f t="shared" si="6"/>
        <v>387</v>
      </c>
      <c r="B389" s="72"/>
      <c r="C389" s="48">
        <v>41075592</v>
      </c>
      <c r="D389" s="49" t="s">
        <v>714</v>
      </c>
      <c r="E389" s="57" t="s">
        <v>715</v>
      </c>
      <c r="F389" s="49" t="s">
        <v>691</v>
      </c>
      <c r="G389" s="91" t="s">
        <v>159</v>
      </c>
      <c r="H389" s="32">
        <v>71</v>
      </c>
      <c r="I389" s="31">
        <v>85</v>
      </c>
      <c r="J389" s="99">
        <v>125</v>
      </c>
      <c r="K389" s="96">
        <v>163</v>
      </c>
      <c r="L389" s="19"/>
    </row>
    <row r="390" spans="1:12" s="1" customFormat="1" ht="15" customHeight="1" thickBot="1" x14ac:dyDescent="0.4">
      <c r="A390" s="46">
        <f t="shared" si="6"/>
        <v>388</v>
      </c>
      <c r="B390" s="72"/>
      <c r="C390" s="48">
        <v>41075363</v>
      </c>
      <c r="D390" s="49" t="s">
        <v>716</v>
      </c>
      <c r="E390" s="57" t="s">
        <v>717</v>
      </c>
      <c r="F390" s="49" t="s">
        <v>684</v>
      </c>
      <c r="G390" s="91" t="s">
        <v>159</v>
      </c>
      <c r="H390" s="32">
        <v>25</v>
      </c>
      <c r="I390" s="31">
        <v>75</v>
      </c>
      <c r="J390" s="99">
        <v>83</v>
      </c>
      <c r="K390" s="96">
        <v>191</v>
      </c>
      <c r="L390" s="19"/>
    </row>
    <row r="391" spans="1:12" s="1" customFormat="1" ht="15" customHeight="1" thickBot="1" x14ac:dyDescent="0.4">
      <c r="A391" s="46">
        <f t="shared" si="6"/>
        <v>389</v>
      </c>
      <c r="B391" s="72"/>
      <c r="C391" s="48">
        <v>41086022</v>
      </c>
      <c r="D391" s="49" t="s">
        <v>718</v>
      </c>
      <c r="E391" s="49" t="s">
        <v>719</v>
      </c>
      <c r="F391" s="49" t="s">
        <v>691</v>
      </c>
      <c r="G391" s="91" t="s">
        <v>159</v>
      </c>
      <c r="H391" s="32">
        <v>0</v>
      </c>
      <c r="I391" s="31">
        <v>24</v>
      </c>
      <c r="J391" s="99">
        <v>0</v>
      </c>
      <c r="K391" s="96">
        <v>108</v>
      </c>
      <c r="L391" s="19"/>
    </row>
    <row r="392" spans="1:12" s="1" customFormat="1" ht="15" customHeight="1" thickBot="1" x14ac:dyDescent="0.4">
      <c r="A392" s="46">
        <f t="shared" si="6"/>
        <v>390</v>
      </c>
      <c r="B392" s="64"/>
      <c r="C392" s="48">
        <v>41092524</v>
      </c>
      <c r="D392" s="49" t="s">
        <v>849</v>
      </c>
      <c r="E392" s="49" t="s">
        <v>721</v>
      </c>
      <c r="F392" s="49" t="s">
        <v>850</v>
      </c>
      <c r="G392" s="91" t="s">
        <v>159</v>
      </c>
      <c r="H392" s="32">
        <v>0</v>
      </c>
      <c r="I392" s="31">
        <v>4</v>
      </c>
      <c r="J392" s="99">
        <v>0</v>
      </c>
      <c r="K392" s="96">
        <v>8</v>
      </c>
      <c r="L392" s="19"/>
    </row>
    <row r="393" spans="1:12" s="1" customFormat="1" ht="15" customHeight="1" thickBot="1" x14ac:dyDescent="0.4">
      <c r="A393" s="46">
        <f t="shared" si="6"/>
        <v>391</v>
      </c>
      <c r="B393" s="47">
        <v>12530600</v>
      </c>
      <c r="C393" s="48">
        <v>41051578</v>
      </c>
      <c r="D393" s="49" t="s">
        <v>720</v>
      </c>
      <c r="E393" s="49" t="s">
        <v>721</v>
      </c>
      <c r="F393" s="49" t="s">
        <v>704</v>
      </c>
      <c r="G393" s="91" t="s">
        <v>159</v>
      </c>
      <c r="H393" s="32">
        <v>50</v>
      </c>
      <c r="I393" s="31">
        <v>70</v>
      </c>
      <c r="J393" s="99">
        <v>175</v>
      </c>
      <c r="K393" s="96">
        <v>230</v>
      </c>
      <c r="L393" s="19"/>
    </row>
    <row r="394" spans="1:12" s="1" customFormat="1" ht="15" customHeight="1" thickBot="1" x14ac:dyDescent="0.4">
      <c r="A394" s="46">
        <f t="shared" si="6"/>
        <v>392</v>
      </c>
      <c r="B394" s="47">
        <v>11091010</v>
      </c>
      <c r="C394" s="48">
        <v>41052391</v>
      </c>
      <c r="D394" s="49" t="s">
        <v>722</v>
      </c>
      <c r="E394" s="49" t="s">
        <v>723</v>
      </c>
      <c r="F394" s="49" t="s">
        <v>723</v>
      </c>
      <c r="G394" s="91" t="s">
        <v>33</v>
      </c>
      <c r="H394" s="32">
        <v>57</v>
      </c>
      <c r="I394" s="31">
        <v>30</v>
      </c>
      <c r="J394" s="99">
        <v>47</v>
      </c>
      <c r="K394" s="96">
        <v>30</v>
      </c>
      <c r="L394" s="19"/>
    </row>
    <row r="395" spans="1:12" s="1" customFormat="1" ht="15" customHeight="1" thickBot="1" x14ac:dyDescent="0.4">
      <c r="A395" s="46">
        <f t="shared" si="6"/>
        <v>393</v>
      </c>
      <c r="B395" s="47">
        <v>11212010</v>
      </c>
      <c r="C395" s="48">
        <v>41052192</v>
      </c>
      <c r="D395" s="49" t="s">
        <v>724</v>
      </c>
      <c r="E395" s="49" t="s">
        <v>725</v>
      </c>
      <c r="F395" s="49" t="s">
        <v>723</v>
      </c>
      <c r="G395" s="91" t="s">
        <v>33</v>
      </c>
      <c r="H395" s="32">
        <v>59</v>
      </c>
      <c r="I395" s="31">
        <v>60</v>
      </c>
      <c r="J395" s="99">
        <v>201</v>
      </c>
      <c r="K395" s="96">
        <v>216</v>
      </c>
      <c r="L395" s="19"/>
    </row>
    <row r="396" spans="1:12" s="1" customFormat="1" ht="15" customHeight="1" thickBot="1" x14ac:dyDescent="0.4">
      <c r="A396" s="46">
        <f t="shared" si="6"/>
        <v>394</v>
      </c>
      <c r="B396" s="50">
        <v>12509100</v>
      </c>
      <c r="C396" s="48">
        <v>41053973</v>
      </c>
      <c r="D396" s="49" t="s">
        <v>726</v>
      </c>
      <c r="E396" s="49" t="s">
        <v>727</v>
      </c>
      <c r="F396" s="49" t="s">
        <v>723</v>
      </c>
      <c r="G396" s="91" t="s">
        <v>33</v>
      </c>
      <c r="H396" s="32">
        <v>24.5</v>
      </c>
      <c r="I396" s="31">
        <v>19</v>
      </c>
      <c r="J396" s="99">
        <v>59.5</v>
      </c>
      <c r="K396" s="96">
        <v>45</v>
      </c>
      <c r="L396" s="19"/>
    </row>
    <row r="397" spans="1:12" s="1" customFormat="1" ht="15" customHeight="1" thickBot="1" x14ac:dyDescent="0.4">
      <c r="A397" s="46">
        <f t="shared" si="6"/>
        <v>395</v>
      </c>
      <c r="B397" s="47">
        <v>12607920</v>
      </c>
      <c r="C397" s="48">
        <v>41087651</v>
      </c>
      <c r="D397" s="49" t="s">
        <v>728</v>
      </c>
      <c r="E397" s="49" t="s">
        <v>725</v>
      </c>
      <c r="F397" s="49" t="s">
        <v>723</v>
      </c>
      <c r="G397" s="91" t="s">
        <v>33</v>
      </c>
      <c r="H397" s="32">
        <v>15</v>
      </c>
      <c r="I397" s="31">
        <v>0</v>
      </c>
      <c r="J397" s="99">
        <v>45</v>
      </c>
      <c r="K397" s="96">
        <v>0</v>
      </c>
      <c r="L397" s="19"/>
    </row>
    <row r="398" spans="1:12" s="1" customFormat="1" ht="15" customHeight="1" thickBot="1" x14ac:dyDescent="0.4">
      <c r="A398" s="46">
        <f t="shared" si="6"/>
        <v>396</v>
      </c>
      <c r="B398" s="50">
        <v>12512030</v>
      </c>
      <c r="C398" s="48">
        <v>41053468</v>
      </c>
      <c r="D398" s="49" t="s">
        <v>729</v>
      </c>
      <c r="E398" s="49" t="s">
        <v>730</v>
      </c>
      <c r="F398" s="49" t="s">
        <v>723</v>
      </c>
      <c r="G398" s="91" t="s">
        <v>33</v>
      </c>
      <c r="H398" s="32">
        <v>78</v>
      </c>
      <c r="I398" s="31">
        <v>75</v>
      </c>
      <c r="J398" s="99">
        <v>118</v>
      </c>
      <c r="K398" s="96">
        <v>131</v>
      </c>
      <c r="L398" s="19"/>
    </row>
    <row r="399" spans="1:12" s="1" customFormat="1" ht="15" customHeight="1" thickBot="1" x14ac:dyDescent="0.4">
      <c r="A399" s="46">
        <f t="shared" si="6"/>
        <v>397</v>
      </c>
      <c r="B399" s="54">
        <v>12541850</v>
      </c>
      <c r="C399" s="48">
        <v>41050501</v>
      </c>
      <c r="D399" s="49" t="s">
        <v>731</v>
      </c>
      <c r="E399" s="49" t="s">
        <v>723</v>
      </c>
      <c r="F399" s="49" t="s">
        <v>723</v>
      </c>
      <c r="G399" s="91" t="s">
        <v>33</v>
      </c>
      <c r="H399" s="32">
        <v>36</v>
      </c>
      <c r="I399" s="31">
        <v>33</v>
      </c>
      <c r="J399" s="99">
        <v>48</v>
      </c>
      <c r="K399" s="96">
        <v>39</v>
      </c>
      <c r="L399" s="19"/>
    </row>
    <row r="400" spans="1:12" s="1" customFormat="1" ht="15" customHeight="1" thickBot="1" x14ac:dyDescent="0.4">
      <c r="A400" s="46">
        <f t="shared" si="6"/>
        <v>398</v>
      </c>
      <c r="B400" s="54">
        <v>12594170</v>
      </c>
      <c r="C400" s="48">
        <v>41039037</v>
      </c>
      <c r="D400" s="49" t="s">
        <v>732</v>
      </c>
      <c r="E400" s="49" t="s">
        <v>733</v>
      </c>
      <c r="F400" s="49" t="s">
        <v>723</v>
      </c>
      <c r="G400" s="91" t="s">
        <v>33</v>
      </c>
      <c r="H400" s="32">
        <v>35</v>
      </c>
      <c r="I400" s="31">
        <v>21</v>
      </c>
      <c r="J400" s="99">
        <v>77</v>
      </c>
      <c r="K400" s="96">
        <v>51</v>
      </c>
      <c r="L400" s="19"/>
    </row>
    <row r="401" spans="1:12" s="1" customFormat="1" ht="15" customHeight="1" thickBot="1" x14ac:dyDescent="0.4">
      <c r="A401" s="46">
        <f t="shared" si="6"/>
        <v>399</v>
      </c>
      <c r="B401" s="47">
        <v>12509000</v>
      </c>
      <c r="C401" s="48">
        <v>41053968</v>
      </c>
      <c r="D401" s="49" t="s">
        <v>734</v>
      </c>
      <c r="E401" s="49" t="s">
        <v>735</v>
      </c>
      <c r="F401" s="49" t="s">
        <v>735</v>
      </c>
      <c r="G401" s="91" t="s">
        <v>33</v>
      </c>
      <c r="H401" s="32">
        <v>45</v>
      </c>
      <c r="I401" s="31">
        <v>50</v>
      </c>
      <c r="J401" s="99">
        <v>135</v>
      </c>
      <c r="K401" s="96">
        <v>130</v>
      </c>
      <c r="L401" s="19"/>
    </row>
    <row r="402" spans="1:12" s="1" customFormat="1" ht="15" customHeight="1" thickBot="1" x14ac:dyDescent="0.4">
      <c r="A402" s="46">
        <f t="shared" si="6"/>
        <v>400</v>
      </c>
      <c r="B402" s="47">
        <v>11026210</v>
      </c>
      <c r="C402" s="48">
        <v>41058798</v>
      </c>
      <c r="D402" s="49" t="s">
        <v>736</v>
      </c>
      <c r="E402" s="49" t="s">
        <v>609</v>
      </c>
      <c r="F402" s="49" t="s">
        <v>735</v>
      </c>
      <c r="G402" s="91" t="s">
        <v>33</v>
      </c>
      <c r="H402" s="32">
        <v>125</v>
      </c>
      <c r="I402" s="31">
        <v>125</v>
      </c>
      <c r="J402" s="99">
        <v>155</v>
      </c>
      <c r="K402" s="96">
        <v>175</v>
      </c>
      <c r="L402" s="19"/>
    </row>
    <row r="403" spans="1:12" s="1" customFormat="1" ht="15" customHeight="1" thickBot="1" x14ac:dyDescent="0.4">
      <c r="A403" s="46">
        <f t="shared" si="6"/>
        <v>401</v>
      </c>
      <c r="B403" s="50">
        <v>12531730</v>
      </c>
      <c r="C403" s="48">
        <v>41051676</v>
      </c>
      <c r="D403" s="49" t="s">
        <v>737</v>
      </c>
      <c r="E403" s="49" t="s">
        <v>738</v>
      </c>
      <c r="F403" s="49" t="s">
        <v>735</v>
      </c>
      <c r="G403" s="91" t="s">
        <v>33</v>
      </c>
      <c r="H403" s="32">
        <v>51</v>
      </c>
      <c r="I403" s="31">
        <v>51</v>
      </c>
      <c r="J403" s="99">
        <v>81</v>
      </c>
      <c r="K403" s="96">
        <v>81</v>
      </c>
      <c r="L403" s="19"/>
    </row>
    <row r="404" spans="1:12" s="1" customFormat="1" ht="15" customHeight="1" thickBot="1" x14ac:dyDescent="0.4">
      <c r="A404" s="46">
        <f t="shared" si="6"/>
        <v>402</v>
      </c>
      <c r="B404" s="54">
        <v>12549570</v>
      </c>
      <c r="C404" s="48">
        <v>41049845</v>
      </c>
      <c r="D404" s="49" t="s">
        <v>739</v>
      </c>
      <c r="E404" s="49" t="s">
        <v>740</v>
      </c>
      <c r="F404" s="49" t="s">
        <v>735</v>
      </c>
      <c r="G404" s="91" t="s">
        <v>33</v>
      </c>
      <c r="H404" s="32">
        <v>60</v>
      </c>
      <c r="I404" s="31">
        <v>66</v>
      </c>
      <c r="J404" s="99">
        <v>156</v>
      </c>
      <c r="K404" s="96">
        <v>174</v>
      </c>
      <c r="L404" s="19"/>
    </row>
    <row r="405" spans="1:12" ht="15" thickBot="1" x14ac:dyDescent="0.4">
      <c r="A405" s="46">
        <f t="shared" si="6"/>
        <v>403</v>
      </c>
      <c r="B405" s="54">
        <v>12549560</v>
      </c>
      <c r="C405" s="48">
        <v>41049844</v>
      </c>
      <c r="D405" s="49" t="s">
        <v>741</v>
      </c>
      <c r="E405" s="49" t="s">
        <v>742</v>
      </c>
      <c r="F405" s="49" t="s">
        <v>735</v>
      </c>
      <c r="G405" s="91" t="s">
        <v>33</v>
      </c>
      <c r="H405" s="32">
        <v>18</v>
      </c>
      <c r="I405" s="31">
        <v>0</v>
      </c>
      <c r="J405" s="99">
        <v>30</v>
      </c>
      <c r="K405" s="96">
        <v>0</v>
      </c>
      <c r="L405" s="19"/>
    </row>
    <row r="406" spans="1:12" ht="15" thickBot="1" x14ac:dyDescent="0.4">
      <c r="A406" s="46">
        <f t="shared" si="6"/>
        <v>404</v>
      </c>
      <c r="B406" s="47">
        <v>11117010</v>
      </c>
      <c r="C406" s="48">
        <v>41052553</v>
      </c>
      <c r="D406" s="49" t="s">
        <v>743</v>
      </c>
      <c r="E406" s="49" t="s">
        <v>744</v>
      </c>
      <c r="F406" s="49" t="s">
        <v>744</v>
      </c>
      <c r="G406" s="91" t="s">
        <v>33</v>
      </c>
      <c r="H406" s="32">
        <v>51</v>
      </c>
      <c r="I406" s="31">
        <v>55</v>
      </c>
      <c r="J406" s="99">
        <v>61</v>
      </c>
      <c r="K406" s="96">
        <v>65</v>
      </c>
      <c r="L406" s="19"/>
    </row>
    <row r="407" spans="1:12" ht="15" thickBot="1" x14ac:dyDescent="0.4">
      <c r="A407" s="46">
        <f t="shared" si="6"/>
        <v>405</v>
      </c>
      <c r="B407" s="51">
        <v>11245020</v>
      </c>
      <c r="C407" s="48">
        <v>41051679</v>
      </c>
      <c r="D407" s="49" t="s">
        <v>745</v>
      </c>
      <c r="E407" s="49" t="s">
        <v>744</v>
      </c>
      <c r="F407" s="49" t="s">
        <v>744</v>
      </c>
      <c r="G407" s="91" t="s">
        <v>33</v>
      </c>
      <c r="H407" s="32">
        <v>9</v>
      </c>
      <c r="I407" s="31">
        <v>15</v>
      </c>
      <c r="J407" s="99">
        <v>27</v>
      </c>
      <c r="K407" s="96">
        <v>57</v>
      </c>
      <c r="L407" s="19"/>
    </row>
    <row r="408" spans="1:12" ht="15" thickBot="1" x14ac:dyDescent="0.4">
      <c r="A408" s="46">
        <f t="shared" si="6"/>
        <v>406</v>
      </c>
      <c r="B408" s="47">
        <v>12512070</v>
      </c>
      <c r="C408" s="48">
        <v>41053471</v>
      </c>
      <c r="D408" s="49" t="s">
        <v>746</v>
      </c>
      <c r="E408" s="49" t="s">
        <v>747</v>
      </c>
      <c r="F408" s="49" t="s">
        <v>744</v>
      </c>
      <c r="G408" s="91" t="s">
        <v>33</v>
      </c>
      <c r="H408" s="32">
        <v>39</v>
      </c>
      <c r="I408" s="31">
        <v>63</v>
      </c>
      <c r="J408" s="99">
        <v>129</v>
      </c>
      <c r="K408" s="96">
        <v>165</v>
      </c>
      <c r="L408" s="19"/>
    </row>
    <row r="409" spans="1:12" ht="15" thickBot="1" x14ac:dyDescent="0.4">
      <c r="A409" s="46">
        <f t="shared" si="6"/>
        <v>407</v>
      </c>
      <c r="B409" s="50">
        <v>12527380</v>
      </c>
      <c r="C409" s="48">
        <v>41051874</v>
      </c>
      <c r="D409" s="49" t="s">
        <v>748</v>
      </c>
      <c r="E409" s="49" t="s">
        <v>744</v>
      </c>
      <c r="F409" s="49" t="s">
        <v>744</v>
      </c>
      <c r="G409" s="91" t="s">
        <v>33</v>
      </c>
      <c r="H409" s="32">
        <v>36</v>
      </c>
      <c r="I409" s="31">
        <v>36</v>
      </c>
      <c r="J409" s="99">
        <v>72</v>
      </c>
      <c r="K409" s="96">
        <v>84</v>
      </c>
      <c r="L409" s="19"/>
    </row>
    <row r="410" spans="1:12" ht="15" thickBot="1" x14ac:dyDescent="0.4">
      <c r="A410" s="46">
        <f t="shared" si="6"/>
        <v>408</v>
      </c>
      <c r="B410" s="47">
        <v>11640900</v>
      </c>
      <c r="C410" s="48">
        <v>41047705</v>
      </c>
      <c r="D410" s="49" t="s">
        <v>749</v>
      </c>
      <c r="E410" s="49" t="s">
        <v>750</v>
      </c>
      <c r="F410" s="49" t="s">
        <v>744</v>
      </c>
      <c r="G410" s="91" t="s">
        <v>33</v>
      </c>
      <c r="H410" s="32">
        <v>38</v>
      </c>
      <c r="I410" s="31">
        <v>33</v>
      </c>
      <c r="J410" s="99">
        <v>58</v>
      </c>
      <c r="K410" s="96">
        <v>51</v>
      </c>
      <c r="L410" s="19"/>
    </row>
    <row r="411" spans="1:12" ht="15" thickBot="1" x14ac:dyDescent="0.4">
      <c r="A411" s="46">
        <f t="shared" si="6"/>
        <v>409</v>
      </c>
      <c r="B411" s="47">
        <v>12594100</v>
      </c>
      <c r="C411" s="48">
        <v>41038822</v>
      </c>
      <c r="D411" s="49" t="s">
        <v>751</v>
      </c>
      <c r="E411" s="49" t="s">
        <v>752</v>
      </c>
      <c r="F411" s="49" t="s">
        <v>744</v>
      </c>
      <c r="G411" s="91" t="s">
        <v>33</v>
      </c>
      <c r="H411" s="32">
        <v>28</v>
      </c>
      <c r="I411" s="31">
        <v>19</v>
      </c>
      <c r="J411" s="99">
        <v>56</v>
      </c>
      <c r="K411" s="96">
        <v>53</v>
      </c>
      <c r="L411" s="19"/>
    </row>
    <row r="412" spans="1:12" ht="15" thickBot="1" x14ac:dyDescent="0.4">
      <c r="A412" s="46">
        <f t="shared" si="6"/>
        <v>410</v>
      </c>
      <c r="B412" s="47">
        <v>11354410</v>
      </c>
      <c r="C412" s="48">
        <v>41050450</v>
      </c>
      <c r="D412" s="49" t="s">
        <v>753</v>
      </c>
      <c r="E412" s="49" t="s">
        <v>754</v>
      </c>
      <c r="F412" s="49" t="s">
        <v>755</v>
      </c>
      <c r="G412" s="91" t="s">
        <v>33</v>
      </c>
      <c r="H412" s="32">
        <v>13</v>
      </c>
      <c r="I412" s="31">
        <v>10</v>
      </c>
      <c r="J412" s="99">
        <v>23</v>
      </c>
      <c r="K412" s="96">
        <v>14</v>
      </c>
      <c r="L412" s="19"/>
    </row>
    <row r="413" spans="1:12" ht="15" thickBot="1" x14ac:dyDescent="0.4">
      <c r="A413" s="46">
        <f t="shared" si="6"/>
        <v>411</v>
      </c>
      <c r="B413" s="54">
        <v>12546980</v>
      </c>
      <c r="C413" s="48">
        <v>41049557</v>
      </c>
      <c r="D413" s="49" t="s">
        <v>756</v>
      </c>
      <c r="E413" s="49" t="s">
        <v>757</v>
      </c>
      <c r="F413" s="49" t="s">
        <v>33</v>
      </c>
      <c r="G413" s="91" t="s">
        <v>33</v>
      </c>
      <c r="H413" s="32">
        <v>18</v>
      </c>
      <c r="I413" s="31">
        <v>3</v>
      </c>
      <c r="J413" s="99">
        <v>30</v>
      </c>
      <c r="K413" s="96">
        <v>9</v>
      </c>
      <c r="L413" s="19"/>
    </row>
    <row r="414" spans="1:12" ht="15" thickBot="1" x14ac:dyDescent="0.4">
      <c r="A414" s="46">
        <f t="shared" si="6"/>
        <v>412</v>
      </c>
      <c r="B414" s="47">
        <v>12207500</v>
      </c>
      <c r="C414" s="48">
        <v>41055567</v>
      </c>
      <c r="D414" s="49" t="s">
        <v>758</v>
      </c>
      <c r="E414" s="49" t="s">
        <v>759</v>
      </c>
      <c r="F414" s="49" t="s">
        <v>446</v>
      </c>
      <c r="G414" s="91" t="s">
        <v>33</v>
      </c>
      <c r="H414" s="32">
        <v>108</v>
      </c>
      <c r="I414" s="31">
        <v>36</v>
      </c>
      <c r="J414" s="99">
        <v>72</v>
      </c>
      <c r="K414" s="96">
        <v>48</v>
      </c>
      <c r="L414" s="19"/>
    </row>
    <row r="415" spans="1:12" ht="15" thickBot="1" x14ac:dyDescent="0.4">
      <c r="A415" s="46">
        <f t="shared" si="6"/>
        <v>413</v>
      </c>
      <c r="B415" s="50">
        <v>12531720</v>
      </c>
      <c r="C415" s="48">
        <v>41051674</v>
      </c>
      <c r="D415" s="49" t="s">
        <v>760</v>
      </c>
      <c r="E415" s="49" t="s">
        <v>761</v>
      </c>
      <c r="F415" s="49" t="s">
        <v>446</v>
      </c>
      <c r="G415" s="91" t="s">
        <v>33</v>
      </c>
      <c r="H415" s="32">
        <v>20</v>
      </c>
      <c r="I415" s="31">
        <v>6</v>
      </c>
      <c r="J415" s="99">
        <v>28</v>
      </c>
      <c r="K415" s="96">
        <v>6</v>
      </c>
      <c r="L415" s="19"/>
    </row>
    <row r="416" spans="1:12" ht="15" thickBot="1" x14ac:dyDescent="0.4">
      <c r="A416" s="46">
        <f t="shared" si="6"/>
        <v>414</v>
      </c>
      <c r="B416" s="47">
        <v>11194010</v>
      </c>
      <c r="C416" s="48">
        <v>41052113</v>
      </c>
      <c r="D416" s="49" t="s">
        <v>762</v>
      </c>
      <c r="E416" s="49" t="s">
        <v>755</v>
      </c>
      <c r="F416" s="49" t="s">
        <v>755</v>
      </c>
      <c r="G416" s="91" t="s">
        <v>33</v>
      </c>
      <c r="H416" s="32">
        <v>103</v>
      </c>
      <c r="I416" s="31">
        <v>98</v>
      </c>
      <c r="J416" s="99">
        <v>101</v>
      </c>
      <c r="K416" s="96">
        <v>104</v>
      </c>
      <c r="L416" s="19"/>
    </row>
    <row r="417" spans="1:17" ht="15" thickBot="1" x14ac:dyDescent="0.4">
      <c r="A417" s="46">
        <f t="shared" si="6"/>
        <v>415</v>
      </c>
      <c r="B417" s="47">
        <v>11002110</v>
      </c>
      <c r="C417" s="48">
        <v>41053726</v>
      </c>
      <c r="D417" s="49" t="s">
        <v>763</v>
      </c>
      <c r="E417" s="49" t="s">
        <v>764</v>
      </c>
      <c r="F417" s="49" t="s">
        <v>755</v>
      </c>
      <c r="G417" s="91" t="s">
        <v>33</v>
      </c>
      <c r="H417" s="32">
        <v>31</v>
      </c>
      <c r="I417" s="31">
        <v>32</v>
      </c>
      <c r="J417" s="99">
        <v>37</v>
      </c>
      <c r="K417" s="96">
        <v>42</v>
      </c>
      <c r="L417" s="19"/>
    </row>
    <row r="418" spans="1:17" ht="15" thickBot="1" x14ac:dyDescent="0.4">
      <c r="A418" s="46">
        <f t="shared" si="6"/>
        <v>416</v>
      </c>
      <c r="B418" s="47">
        <v>11119010</v>
      </c>
      <c r="C418" s="48">
        <v>41052554</v>
      </c>
      <c r="D418" s="49" t="s">
        <v>765</v>
      </c>
      <c r="E418" s="49" t="s">
        <v>766</v>
      </c>
      <c r="F418" s="49" t="s">
        <v>755</v>
      </c>
      <c r="G418" s="91" t="s">
        <v>33</v>
      </c>
      <c r="H418" s="32">
        <v>0</v>
      </c>
      <c r="I418" s="31">
        <v>0</v>
      </c>
      <c r="J418" s="99">
        <v>0</v>
      </c>
      <c r="K418" s="96">
        <v>0</v>
      </c>
      <c r="L418" s="19"/>
    </row>
    <row r="419" spans="1:17" ht="15" thickBot="1" x14ac:dyDescent="0.4">
      <c r="A419" s="46">
        <f t="shared" si="6"/>
        <v>417</v>
      </c>
      <c r="B419" s="47">
        <v>11006610</v>
      </c>
      <c r="C419" s="48">
        <v>41053134</v>
      </c>
      <c r="D419" s="49" t="s">
        <v>767</v>
      </c>
      <c r="E419" s="49" t="s">
        <v>766</v>
      </c>
      <c r="F419" s="49" t="s">
        <v>755</v>
      </c>
      <c r="G419" s="91" t="s">
        <v>33</v>
      </c>
      <c r="H419" s="32">
        <v>82</v>
      </c>
      <c r="I419" s="31">
        <v>82</v>
      </c>
      <c r="J419" s="99">
        <v>82</v>
      </c>
      <c r="K419" s="96">
        <v>86</v>
      </c>
      <c r="L419" s="19"/>
    </row>
    <row r="420" spans="1:17" ht="15" thickBot="1" x14ac:dyDescent="0.4">
      <c r="A420" s="46">
        <f t="shared" si="6"/>
        <v>418</v>
      </c>
      <c r="B420" s="50">
        <v>12380810</v>
      </c>
      <c r="C420" s="48">
        <v>41054461</v>
      </c>
      <c r="D420" s="49" t="s">
        <v>870</v>
      </c>
      <c r="E420" s="49" t="s">
        <v>768</v>
      </c>
      <c r="F420" s="49" t="s">
        <v>755</v>
      </c>
      <c r="G420" s="91" t="s">
        <v>33</v>
      </c>
      <c r="H420" s="32">
        <v>10</v>
      </c>
      <c r="I420" s="31">
        <v>12</v>
      </c>
      <c r="J420" s="99">
        <v>26</v>
      </c>
      <c r="K420" s="96">
        <v>48</v>
      </c>
      <c r="L420" s="19"/>
    </row>
    <row r="421" spans="1:17" ht="15" thickBot="1" x14ac:dyDescent="0.4">
      <c r="A421" s="46">
        <f t="shared" si="6"/>
        <v>419</v>
      </c>
      <c r="B421" s="50">
        <v>12520350</v>
      </c>
      <c r="C421" s="48">
        <v>41058404</v>
      </c>
      <c r="D421" s="49" t="s">
        <v>769</v>
      </c>
      <c r="E421" s="49" t="s">
        <v>770</v>
      </c>
      <c r="F421" s="49" t="s">
        <v>755</v>
      </c>
      <c r="G421" s="91" t="s">
        <v>33</v>
      </c>
      <c r="H421" s="32">
        <v>18</v>
      </c>
      <c r="I421" s="31">
        <v>15</v>
      </c>
      <c r="J421" s="99">
        <v>78</v>
      </c>
      <c r="K421" s="96">
        <v>45</v>
      </c>
      <c r="L421" s="19"/>
    </row>
    <row r="422" spans="1:17" ht="15" thickBot="1" x14ac:dyDescent="0.4">
      <c r="A422" s="46">
        <f t="shared" si="6"/>
        <v>420</v>
      </c>
      <c r="B422" s="50">
        <v>12524590</v>
      </c>
      <c r="C422" s="48">
        <v>41052319</v>
      </c>
      <c r="D422" s="49" t="s">
        <v>771</v>
      </c>
      <c r="E422" s="49" t="s">
        <v>772</v>
      </c>
      <c r="F422" s="49" t="s">
        <v>755</v>
      </c>
      <c r="G422" s="91" t="s">
        <v>33</v>
      </c>
      <c r="H422" s="32">
        <v>44</v>
      </c>
      <c r="I422" s="31">
        <v>40</v>
      </c>
      <c r="J422" s="99">
        <v>165</v>
      </c>
      <c r="K422" s="96">
        <v>169</v>
      </c>
      <c r="L422" s="19"/>
    </row>
    <row r="423" spans="1:17" ht="15" thickBot="1" x14ac:dyDescent="0.4">
      <c r="A423" s="46">
        <f t="shared" si="6"/>
        <v>421</v>
      </c>
      <c r="B423" s="50">
        <v>12527820</v>
      </c>
      <c r="C423" s="48">
        <v>41051934</v>
      </c>
      <c r="D423" s="49" t="s">
        <v>773</v>
      </c>
      <c r="E423" s="49" t="s">
        <v>774</v>
      </c>
      <c r="F423" s="49" t="s">
        <v>755</v>
      </c>
      <c r="G423" s="91" t="s">
        <v>33</v>
      </c>
      <c r="H423" s="32">
        <v>118.5</v>
      </c>
      <c r="I423" s="31">
        <v>144</v>
      </c>
      <c r="J423" s="99">
        <v>235.5</v>
      </c>
      <c r="K423" s="96">
        <v>252</v>
      </c>
      <c r="L423" s="19"/>
    </row>
    <row r="424" spans="1:17" ht="15" thickBot="1" x14ac:dyDescent="0.4">
      <c r="A424" s="46">
        <f t="shared" si="6"/>
        <v>422</v>
      </c>
      <c r="B424" s="47">
        <v>12543710</v>
      </c>
      <c r="C424" s="48">
        <v>41049949</v>
      </c>
      <c r="D424" s="49" t="s">
        <v>775</v>
      </c>
      <c r="E424" s="49" t="s">
        <v>776</v>
      </c>
      <c r="F424" s="49" t="s">
        <v>777</v>
      </c>
      <c r="G424" s="91" t="s">
        <v>33</v>
      </c>
      <c r="H424" s="32">
        <v>27</v>
      </c>
      <c r="I424" s="31">
        <v>33</v>
      </c>
      <c r="J424" s="99">
        <v>33</v>
      </c>
      <c r="K424" s="96">
        <v>41</v>
      </c>
      <c r="L424" s="19"/>
      <c r="O424"/>
      <c r="P424"/>
      <c r="Q424"/>
    </row>
    <row r="425" spans="1:17" ht="15" thickBot="1" x14ac:dyDescent="0.4">
      <c r="A425" s="46">
        <f t="shared" si="6"/>
        <v>423</v>
      </c>
      <c r="B425" s="47">
        <v>11004620</v>
      </c>
      <c r="C425" s="48">
        <v>41053794</v>
      </c>
      <c r="D425" s="49" t="s">
        <v>778</v>
      </c>
      <c r="E425" s="49" t="s">
        <v>777</v>
      </c>
      <c r="F425" s="49" t="s">
        <v>777</v>
      </c>
      <c r="G425" s="91" t="s">
        <v>33</v>
      </c>
      <c r="H425" s="32">
        <v>90</v>
      </c>
      <c r="I425" s="31">
        <v>90</v>
      </c>
      <c r="J425" s="99">
        <v>190</v>
      </c>
      <c r="K425" s="96">
        <v>190</v>
      </c>
      <c r="L425" s="19"/>
      <c r="O425"/>
      <c r="P425"/>
      <c r="Q425"/>
    </row>
    <row r="426" spans="1:17" ht="15" thickBot="1" x14ac:dyDescent="0.4">
      <c r="A426" s="46">
        <f t="shared" si="6"/>
        <v>424</v>
      </c>
      <c r="B426" s="74">
        <v>11197020</v>
      </c>
      <c r="C426" s="75">
        <v>41052120</v>
      </c>
      <c r="D426" s="49" t="s">
        <v>779</v>
      </c>
      <c r="E426" s="49" t="s">
        <v>777</v>
      </c>
      <c r="F426" s="49" t="s">
        <v>777</v>
      </c>
      <c r="G426" s="91" t="s">
        <v>33</v>
      </c>
      <c r="H426" s="32">
        <v>72</v>
      </c>
      <c r="I426" s="31">
        <v>68</v>
      </c>
      <c r="J426" s="99">
        <v>120</v>
      </c>
      <c r="K426" s="96">
        <v>156</v>
      </c>
      <c r="L426" s="19"/>
      <c r="O426"/>
      <c r="P426"/>
      <c r="Q426"/>
    </row>
    <row r="427" spans="1:17" ht="15" thickBot="1" x14ac:dyDescent="0.4">
      <c r="A427" s="46">
        <f t="shared" si="6"/>
        <v>425</v>
      </c>
      <c r="B427" s="47">
        <v>11573400</v>
      </c>
      <c r="C427" s="48">
        <v>41048557</v>
      </c>
      <c r="D427" s="49" t="s">
        <v>780</v>
      </c>
      <c r="E427" s="49" t="s">
        <v>777</v>
      </c>
      <c r="F427" s="49" t="s">
        <v>777</v>
      </c>
      <c r="G427" s="91" t="s">
        <v>33</v>
      </c>
      <c r="H427" s="32">
        <v>58</v>
      </c>
      <c r="I427" s="31">
        <v>59</v>
      </c>
      <c r="J427" s="99">
        <v>34</v>
      </c>
      <c r="K427" s="96">
        <v>41</v>
      </c>
      <c r="L427" s="19"/>
      <c r="O427"/>
      <c r="P427"/>
      <c r="Q427"/>
    </row>
    <row r="428" spans="1:17" ht="15" thickBot="1" x14ac:dyDescent="0.4">
      <c r="A428" s="46">
        <f t="shared" si="6"/>
        <v>426</v>
      </c>
      <c r="B428" s="51">
        <v>12249200</v>
      </c>
      <c r="C428" s="48">
        <v>41055210</v>
      </c>
      <c r="D428" s="49" t="s">
        <v>713</v>
      </c>
      <c r="E428" s="49" t="s">
        <v>781</v>
      </c>
      <c r="F428" s="49" t="s">
        <v>777</v>
      </c>
      <c r="G428" s="91" t="s">
        <v>33</v>
      </c>
      <c r="H428" s="32">
        <v>8</v>
      </c>
      <c r="I428" s="31">
        <v>0</v>
      </c>
      <c r="J428" s="99">
        <v>44</v>
      </c>
      <c r="K428" s="96">
        <v>0</v>
      </c>
      <c r="L428" s="19"/>
      <c r="O428"/>
      <c r="P428"/>
      <c r="Q428"/>
    </row>
    <row r="429" spans="1:17" ht="15" thickBot="1" x14ac:dyDescent="0.4">
      <c r="A429" s="46">
        <f t="shared" si="6"/>
        <v>427</v>
      </c>
      <c r="B429" s="47">
        <v>12506410</v>
      </c>
      <c r="C429" s="48">
        <v>41053827</v>
      </c>
      <c r="D429" s="49" t="s">
        <v>782</v>
      </c>
      <c r="E429" s="49" t="s">
        <v>783</v>
      </c>
      <c r="F429" s="49" t="s">
        <v>777</v>
      </c>
      <c r="G429" s="91" t="s">
        <v>33</v>
      </c>
      <c r="H429" s="32">
        <v>16</v>
      </c>
      <c r="I429" s="31">
        <v>12</v>
      </c>
      <c r="J429" s="99">
        <v>20</v>
      </c>
      <c r="K429" s="96">
        <v>24</v>
      </c>
      <c r="L429" s="19"/>
    </row>
    <row r="430" spans="1:17" ht="15" thickBot="1" x14ac:dyDescent="0.4">
      <c r="A430" s="46">
        <f t="shared" si="6"/>
        <v>428</v>
      </c>
      <c r="B430" s="47">
        <v>12519060</v>
      </c>
      <c r="C430" s="48">
        <v>41053283</v>
      </c>
      <c r="D430" s="49" t="s">
        <v>784</v>
      </c>
      <c r="E430" s="49" t="s">
        <v>785</v>
      </c>
      <c r="F430" s="49" t="s">
        <v>777</v>
      </c>
      <c r="G430" s="91" t="s">
        <v>33</v>
      </c>
      <c r="H430" s="32">
        <v>76</v>
      </c>
      <c r="I430" s="31">
        <v>73</v>
      </c>
      <c r="J430" s="99">
        <v>164</v>
      </c>
      <c r="K430" s="96">
        <v>151</v>
      </c>
      <c r="L430" s="19"/>
    </row>
    <row r="431" spans="1:17" ht="15" thickBot="1" x14ac:dyDescent="0.4">
      <c r="A431" s="63">
        <f t="shared" si="6"/>
        <v>429</v>
      </c>
      <c r="B431" s="47">
        <v>12521570</v>
      </c>
      <c r="C431" s="48">
        <v>41052799</v>
      </c>
      <c r="D431" s="49" t="s">
        <v>786</v>
      </c>
      <c r="E431" s="49" t="s">
        <v>787</v>
      </c>
      <c r="F431" s="49" t="s">
        <v>777</v>
      </c>
      <c r="G431" s="91" t="s">
        <v>33</v>
      </c>
      <c r="H431" s="32">
        <v>53</v>
      </c>
      <c r="I431" s="31">
        <v>54.5</v>
      </c>
      <c r="J431" s="99">
        <v>91</v>
      </c>
      <c r="K431" s="96">
        <v>99.5</v>
      </c>
      <c r="L431" s="19"/>
    </row>
    <row r="432" spans="1:17" ht="15" thickBot="1" x14ac:dyDescent="0.4">
      <c r="A432" s="46">
        <f t="shared" si="6"/>
        <v>430</v>
      </c>
      <c r="B432" s="54">
        <v>12551520</v>
      </c>
      <c r="C432" s="48">
        <v>41049324</v>
      </c>
      <c r="D432" s="49" t="s">
        <v>788</v>
      </c>
      <c r="E432" s="49" t="s">
        <v>789</v>
      </c>
      <c r="F432" s="49" t="s">
        <v>777</v>
      </c>
      <c r="G432" s="91" t="s">
        <v>33</v>
      </c>
      <c r="H432" s="32">
        <v>9</v>
      </c>
      <c r="I432" s="31">
        <v>3</v>
      </c>
      <c r="J432" s="99">
        <v>15</v>
      </c>
      <c r="K432" s="96">
        <v>9</v>
      </c>
      <c r="L432" s="19"/>
    </row>
    <row r="433" spans="1:12" ht="15" thickBot="1" x14ac:dyDescent="0.4">
      <c r="A433" s="46">
        <f t="shared" si="6"/>
        <v>431</v>
      </c>
      <c r="B433" s="54">
        <v>12590250</v>
      </c>
      <c r="C433" s="48">
        <v>41041851</v>
      </c>
      <c r="D433" s="49" t="s">
        <v>790</v>
      </c>
      <c r="E433" s="49" t="s">
        <v>757</v>
      </c>
      <c r="F433" s="49" t="s">
        <v>777</v>
      </c>
      <c r="G433" s="91" t="s">
        <v>33</v>
      </c>
      <c r="H433" s="32">
        <v>36</v>
      </c>
      <c r="I433" s="31">
        <v>30</v>
      </c>
      <c r="J433" s="99">
        <v>60</v>
      </c>
      <c r="K433" s="96">
        <v>68</v>
      </c>
      <c r="L433" s="19"/>
    </row>
    <row r="434" spans="1:12" ht="15" thickBot="1" x14ac:dyDescent="0.4">
      <c r="A434" s="46">
        <f t="shared" si="6"/>
        <v>432</v>
      </c>
      <c r="B434" s="54">
        <v>12590260</v>
      </c>
      <c r="C434" s="48">
        <v>41041854</v>
      </c>
      <c r="D434" s="49" t="s">
        <v>791</v>
      </c>
      <c r="E434" s="49" t="s">
        <v>792</v>
      </c>
      <c r="F434" s="49" t="s">
        <v>777</v>
      </c>
      <c r="G434" s="91" t="s">
        <v>33</v>
      </c>
      <c r="H434" s="32">
        <v>84</v>
      </c>
      <c r="I434" s="31">
        <v>3</v>
      </c>
      <c r="J434" s="99">
        <v>132</v>
      </c>
      <c r="K434" s="96">
        <v>9</v>
      </c>
      <c r="L434" s="19"/>
    </row>
    <row r="435" spans="1:12" ht="15" thickBot="1" x14ac:dyDescent="0.4">
      <c r="A435" s="46">
        <f t="shared" si="6"/>
        <v>433</v>
      </c>
      <c r="B435" s="54">
        <v>12590320</v>
      </c>
      <c r="C435" s="48">
        <v>41041959</v>
      </c>
      <c r="D435" s="49" t="s">
        <v>793</v>
      </c>
      <c r="E435" s="49" t="s">
        <v>794</v>
      </c>
      <c r="F435" s="49" t="s">
        <v>777</v>
      </c>
      <c r="G435" s="91" t="s">
        <v>33</v>
      </c>
      <c r="H435" s="32">
        <v>45</v>
      </c>
      <c r="I435" s="31">
        <v>28</v>
      </c>
      <c r="J435" s="99">
        <v>51</v>
      </c>
      <c r="K435" s="96">
        <v>64</v>
      </c>
      <c r="L435" s="19"/>
    </row>
    <row r="436" spans="1:12" ht="15" thickBot="1" x14ac:dyDescent="0.4">
      <c r="A436" s="46">
        <f t="shared" si="6"/>
        <v>434</v>
      </c>
      <c r="B436" s="53">
        <v>12592720</v>
      </c>
      <c r="C436" s="48">
        <v>41040638</v>
      </c>
      <c r="D436" s="49" t="s">
        <v>795</v>
      </c>
      <c r="E436" s="49" t="s">
        <v>796</v>
      </c>
      <c r="F436" s="49" t="s">
        <v>777</v>
      </c>
      <c r="G436" s="91" t="s">
        <v>33</v>
      </c>
      <c r="H436" s="32">
        <v>50</v>
      </c>
      <c r="I436" s="31">
        <v>55</v>
      </c>
      <c r="J436" s="99">
        <v>70</v>
      </c>
      <c r="K436" s="96">
        <v>105</v>
      </c>
      <c r="L436" s="19"/>
    </row>
    <row r="437" spans="1:12" ht="15" thickBot="1" x14ac:dyDescent="0.4">
      <c r="A437" s="46">
        <f t="shared" si="6"/>
        <v>435</v>
      </c>
      <c r="B437" s="54">
        <v>12592730</v>
      </c>
      <c r="C437" s="48">
        <v>41040641</v>
      </c>
      <c r="D437" s="49" t="s">
        <v>797</v>
      </c>
      <c r="E437" s="49" t="s">
        <v>798</v>
      </c>
      <c r="F437" s="49" t="s">
        <v>777</v>
      </c>
      <c r="G437" s="91" t="s">
        <v>33</v>
      </c>
      <c r="H437" s="32">
        <v>37</v>
      </c>
      <c r="I437" s="31">
        <v>42</v>
      </c>
      <c r="J437" s="99">
        <v>71</v>
      </c>
      <c r="K437" s="96">
        <v>42</v>
      </c>
      <c r="L437" s="19"/>
    </row>
    <row r="438" spans="1:12" ht="15" thickBot="1" x14ac:dyDescent="0.4">
      <c r="A438" s="46">
        <f t="shared" si="6"/>
        <v>436</v>
      </c>
      <c r="B438" s="53">
        <v>12594090</v>
      </c>
      <c r="C438" s="48">
        <v>41038820</v>
      </c>
      <c r="D438" s="49" t="s">
        <v>799</v>
      </c>
      <c r="E438" s="49" t="s">
        <v>800</v>
      </c>
      <c r="F438" s="49" t="s">
        <v>777</v>
      </c>
      <c r="G438" s="91" t="s">
        <v>33</v>
      </c>
      <c r="H438" s="32">
        <v>6</v>
      </c>
      <c r="I438" s="31">
        <v>8</v>
      </c>
      <c r="J438" s="99">
        <v>74</v>
      </c>
      <c r="K438" s="96">
        <v>24</v>
      </c>
      <c r="L438" s="19"/>
    </row>
    <row r="439" spans="1:12" ht="15" thickBot="1" x14ac:dyDescent="0.4">
      <c r="A439" s="46">
        <f t="shared" si="6"/>
        <v>437</v>
      </c>
      <c r="B439" s="56">
        <v>12605190</v>
      </c>
      <c r="C439" s="48">
        <v>41034125</v>
      </c>
      <c r="D439" s="49" t="s">
        <v>801</v>
      </c>
      <c r="E439" s="49" t="s">
        <v>802</v>
      </c>
      <c r="F439" s="49" t="s">
        <v>777</v>
      </c>
      <c r="G439" s="91" t="s">
        <v>33</v>
      </c>
      <c r="H439" s="32">
        <v>82.5</v>
      </c>
      <c r="I439" s="31">
        <v>48</v>
      </c>
      <c r="J439" s="99">
        <v>107.5</v>
      </c>
      <c r="K439" s="96">
        <v>66</v>
      </c>
      <c r="L439" s="19"/>
    </row>
    <row r="440" spans="1:12" ht="15" thickBot="1" x14ac:dyDescent="0.4">
      <c r="A440" s="46">
        <f t="shared" si="6"/>
        <v>438</v>
      </c>
      <c r="B440" s="47">
        <v>11210020</v>
      </c>
      <c r="C440" s="48">
        <v>41052188</v>
      </c>
      <c r="D440" s="49" t="s">
        <v>803</v>
      </c>
      <c r="E440" s="49" t="s">
        <v>804</v>
      </c>
      <c r="F440" s="49" t="s">
        <v>804</v>
      </c>
      <c r="G440" s="91" t="s">
        <v>33</v>
      </c>
      <c r="H440" s="32">
        <v>44</v>
      </c>
      <c r="I440" s="31">
        <v>40</v>
      </c>
      <c r="J440" s="99">
        <v>64</v>
      </c>
      <c r="K440" s="96">
        <v>68</v>
      </c>
      <c r="L440" s="19"/>
    </row>
    <row r="441" spans="1:12" ht="15" thickBot="1" x14ac:dyDescent="0.4">
      <c r="A441" s="46">
        <f t="shared" si="6"/>
        <v>439</v>
      </c>
      <c r="B441" s="47">
        <v>11211010</v>
      </c>
      <c r="C441" s="48"/>
      <c r="D441" s="49" t="s">
        <v>805</v>
      </c>
      <c r="E441" s="49" t="s">
        <v>804</v>
      </c>
      <c r="F441" s="49" t="s">
        <v>804</v>
      </c>
      <c r="G441" s="91" t="s">
        <v>33</v>
      </c>
      <c r="H441" s="32"/>
      <c r="I441" s="31"/>
      <c r="J441" s="99"/>
      <c r="K441" s="96"/>
      <c r="L441" s="19"/>
    </row>
    <row r="442" spans="1:12" ht="15" thickBot="1" x14ac:dyDescent="0.4">
      <c r="A442" s="46">
        <f t="shared" si="6"/>
        <v>440</v>
      </c>
      <c r="B442" s="47">
        <v>11005210</v>
      </c>
      <c r="C442" s="48">
        <v>41058786</v>
      </c>
      <c r="D442" s="49" t="s">
        <v>806</v>
      </c>
      <c r="E442" s="49" t="s">
        <v>807</v>
      </c>
      <c r="F442" s="49" t="s">
        <v>804</v>
      </c>
      <c r="G442" s="91" t="s">
        <v>33</v>
      </c>
      <c r="H442" s="32">
        <v>90</v>
      </c>
      <c r="I442" s="31">
        <v>81</v>
      </c>
      <c r="J442" s="99">
        <v>138</v>
      </c>
      <c r="K442" s="96">
        <v>147</v>
      </c>
      <c r="L442" s="19"/>
    </row>
    <row r="443" spans="1:12" ht="15" thickBot="1" x14ac:dyDescent="0.4">
      <c r="A443" s="46">
        <f t="shared" si="6"/>
        <v>441</v>
      </c>
      <c r="B443" s="50">
        <v>12529190</v>
      </c>
      <c r="C443" s="48">
        <v>41052125</v>
      </c>
      <c r="D443" s="49" t="s">
        <v>808</v>
      </c>
      <c r="E443" s="49" t="s">
        <v>809</v>
      </c>
      <c r="F443" s="49" t="s">
        <v>804</v>
      </c>
      <c r="G443" s="91" t="s">
        <v>33</v>
      </c>
      <c r="H443" s="32">
        <v>24</v>
      </c>
      <c r="I443" s="31">
        <v>28</v>
      </c>
      <c r="J443" s="99">
        <v>52</v>
      </c>
      <c r="K443" s="96">
        <v>42</v>
      </c>
      <c r="L443" s="19"/>
    </row>
    <row r="444" spans="1:12" ht="15" thickBot="1" x14ac:dyDescent="0.4">
      <c r="A444" s="46">
        <f t="shared" si="6"/>
        <v>442</v>
      </c>
      <c r="B444" s="56">
        <v>12556490</v>
      </c>
      <c r="C444" s="48">
        <v>41048442</v>
      </c>
      <c r="D444" s="49" t="s">
        <v>810</v>
      </c>
      <c r="E444" s="49" t="s">
        <v>811</v>
      </c>
      <c r="F444" s="49" t="s">
        <v>744</v>
      </c>
      <c r="G444" s="91" t="s">
        <v>33</v>
      </c>
      <c r="H444" s="32">
        <v>0</v>
      </c>
      <c r="I444" s="31">
        <v>0</v>
      </c>
      <c r="J444" s="99">
        <v>0</v>
      </c>
      <c r="K444" s="96">
        <v>0</v>
      </c>
      <c r="L444" s="19"/>
    </row>
    <row r="445" spans="1:12" ht="15" thickBot="1" x14ac:dyDescent="0.4">
      <c r="A445" s="46">
        <f t="shared" si="6"/>
        <v>443</v>
      </c>
      <c r="B445" s="56">
        <v>12564310</v>
      </c>
      <c r="C445" s="48">
        <v>41047909</v>
      </c>
      <c r="D445" s="49" t="s">
        <v>812</v>
      </c>
      <c r="E445" s="49" t="s">
        <v>813</v>
      </c>
      <c r="F445" s="49" t="s">
        <v>804</v>
      </c>
      <c r="G445" s="91" t="s">
        <v>33</v>
      </c>
      <c r="H445" s="32">
        <v>136</v>
      </c>
      <c r="I445" s="31">
        <v>128</v>
      </c>
      <c r="J445" s="99">
        <v>136</v>
      </c>
      <c r="K445" s="96">
        <v>176</v>
      </c>
      <c r="L445" s="19"/>
    </row>
    <row r="446" spans="1:12" ht="15" thickBot="1" x14ac:dyDescent="0.4">
      <c r="A446" s="46">
        <f t="shared" si="6"/>
        <v>444</v>
      </c>
      <c r="B446" s="56">
        <v>12564340</v>
      </c>
      <c r="C446" s="48">
        <v>41047911</v>
      </c>
      <c r="D446" s="49" t="s">
        <v>814</v>
      </c>
      <c r="E446" s="49" t="s">
        <v>811</v>
      </c>
      <c r="F446" s="49" t="s">
        <v>744</v>
      </c>
      <c r="G446" s="91" t="s">
        <v>33</v>
      </c>
      <c r="H446" s="32">
        <v>0</v>
      </c>
      <c r="I446" s="31">
        <v>0</v>
      </c>
      <c r="J446" s="99">
        <v>0</v>
      </c>
      <c r="K446" s="96">
        <v>0</v>
      </c>
      <c r="L446" s="19"/>
    </row>
    <row r="447" spans="1:12" ht="15" thickBot="1" x14ac:dyDescent="0.4">
      <c r="A447" s="46">
        <f t="shared" si="6"/>
        <v>445</v>
      </c>
      <c r="B447" s="56">
        <v>12570340</v>
      </c>
      <c r="C447" s="48">
        <v>41044679</v>
      </c>
      <c r="D447" s="49" t="s">
        <v>815</v>
      </c>
      <c r="E447" s="49" t="s">
        <v>816</v>
      </c>
      <c r="F447" s="49" t="s">
        <v>723</v>
      </c>
      <c r="G447" s="91" t="s">
        <v>33</v>
      </c>
      <c r="H447" s="32">
        <v>45</v>
      </c>
      <c r="I447" s="31">
        <v>48</v>
      </c>
      <c r="J447" s="99">
        <v>111</v>
      </c>
      <c r="K447" s="96">
        <v>120</v>
      </c>
      <c r="L447" s="19"/>
    </row>
    <row r="448" spans="1:12" ht="15" thickBot="1" x14ac:dyDescent="0.4">
      <c r="A448" s="46">
        <f t="shared" si="6"/>
        <v>446</v>
      </c>
      <c r="B448" s="56">
        <v>12570370</v>
      </c>
      <c r="C448" s="48">
        <v>41044684</v>
      </c>
      <c r="D448" s="49" t="s">
        <v>817</v>
      </c>
      <c r="E448" s="49" t="s">
        <v>818</v>
      </c>
      <c r="F448" s="49" t="s">
        <v>735</v>
      </c>
      <c r="G448" s="91" t="s">
        <v>33</v>
      </c>
      <c r="H448" s="32">
        <v>42</v>
      </c>
      <c r="I448" s="31">
        <v>31</v>
      </c>
      <c r="J448" s="99">
        <v>42</v>
      </c>
      <c r="K448" s="96">
        <v>39</v>
      </c>
      <c r="L448" s="19"/>
    </row>
    <row r="449" spans="1:12" ht="15" thickBot="1" x14ac:dyDescent="0.4">
      <c r="A449" s="46">
        <f t="shared" si="6"/>
        <v>447</v>
      </c>
      <c r="B449" s="56">
        <v>12582520</v>
      </c>
      <c r="C449" s="48">
        <v>41044934</v>
      </c>
      <c r="D449" s="49" t="s">
        <v>819</v>
      </c>
      <c r="E449" s="49" t="s">
        <v>723</v>
      </c>
      <c r="F449" s="49" t="s">
        <v>723</v>
      </c>
      <c r="G449" s="91" t="s">
        <v>33</v>
      </c>
      <c r="H449" s="32">
        <v>33</v>
      </c>
      <c r="I449" s="31">
        <v>15</v>
      </c>
      <c r="J449" s="99">
        <v>75</v>
      </c>
      <c r="K449" s="96">
        <v>33</v>
      </c>
      <c r="L449" s="19"/>
    </row>
    <row r="450" spans="1:12" ht="15" thickBot="1" x14ac:dyDescent="0.4">
      <c r="A450" s="46">
        <f t="shared" si="6"/>
        <v>448</v>
      </c>
      <c r="B450" s="56">
        <v>12585810</v>
      </c>
      <c r="C450" s="48">
        <v>41044059</v>
      </c>
      <c r="D450" s="49" t="s">
        <v>820</v>
      </c>
      <c r="E450" s="49" t="s">
        <v>821</v>
      </c>
      <c r="F450" s="49" t="s">
        <v>804</v>
      </c>
      <c r="G450" s="91" t="s">
        <v>33</v>
      </c>
      <c r="H450" s="32">
        <v>40</v>
      </c>
      <c r="I450" s="31">
        <v>43</v>
      </c>
      <c r="J450" s="99">
        <v>50</v>
      </c>
      <c r="K450" s="96">
        <v>65</v>
      </c>
      <c r="L450" s="19"/>
    </row>
    <row r="451" spans="1:12" ht="15" thickBot="1" x14ac:dyDescent="0.4">
      <c r="A451" s="46">
        <f t="shared" si="6"/>
        <v>449</v>
      </c>
      <c r="B451" s="56">
        <v>12585870</v>
      </c>
      <c r="C451" s="48">
        <v>41044077</v>
      </c>
      <c r="D451" s="49" t="s">
        <v>102</v>
      </c>
      <c r="E451" s="49" t="s">
        <v>755</v>
      </c>
      <c r="F451" s="49" t="s">
        <v>755</v>
      </c>
      <c r="G451" s="91" t="s">
        <v>33</v>
      </c>
      <c r="H451" s="32">
        <v>47</v>
      </c>
      <c r="I451" s="31">
        <v>39</v>
      </c>
      <c r="J451" s="99">
        <v>85</v>
      </c>
      <c r="K451" s="96">
        <v>81</v>
      </c>
      <c r="L451" s="19"/>
    </row>
    <row r="452" spans="1:12" ht="15" thickBot="1" x14ac:dyDescent="0.4">
      <c r="A452" s="46">
        <f t="shared" ref="A452:A457" si="7">+A451+1</f>
        <v>450</v>
      </c>
      <c r="B452" s="56">
        <v>12585960</v>
      </c>
      <c r="C452" s="48">
        <v>41044108</v>
      </c>
      <c r="D452" s="49" t="s">
        <v>822</v>
      </c>
      <c r="E452" s="49" t="s">
        <v>823</v>
      </c>
      <c r="F452" s="49" t="s">
        <v>804</v>
      </c>
      <c r="G452" s="91" t="s">
        <v>33</v>
      </c>
      <c r="H452" s="32">
        <v>65</v>
      </c>
      <c r="I452" s="31">
        <v>53</v>
      </c>
      <c r="J452" s="99">
        <v>95</v>
      </c>
      <c r="K452" s="96">
        <v>95</v>
      </c>
      <c r="L452" s="19"/>
    </row>
    <row r="453" spans="1:12" ht="15" thickBot="1" x14ac:dyDescent="0.4">
      <c r="A453" s="46">
        <f t="shared" si="7"/>
        <v>451</v>
      </c>
      <c r="B453" s="56">
        <v>12596680</v>
      </c>
      <c r="C453" s="48">
        <v>41037861</v>
      </c>
      <c r="D453" s="49" t="s">
        <v>824</v>
      </c>
      <c r="E453" s="49" t="s">
        <v>825</v>
      </c>
      <c r="F453" s="49" t="s">
        <v>777</v>
      </c>
      <c r="G453" s="91" t="s">
        <v>33</v>
      </c>
      <c r="H453" s="32">
        <v>38</v>
      </c>
      <c r="I453" s="31">
        <v>0</v>
      </c>
      <c r="J453" s="99">
        <v>78</v>
      </c>
      <c r="K453" s="96">
        <v>0</v>
      </c>
      <c r="L453" s="19"/>
    </row>
    <row r="454" spans="1:12" ht="15" thickBot="1" x14ac:dyDescent="0.4">
      <c r="A454" s="46">
        <f t="shared" si="7"/>
        <v>452</v>
      </c>
      <c r="B454" s="76">
        <v>12605200</v>
      </c>
      <c r="C454" s="48">
        <v>41034128</v>
      </c>
      <c r="D454" s="49" t="s">
        <v>826</v>
      </c>
      <c r="E454" s="49" t="s">
        <v>777</v>
      </c>
      <c r="F454" s="49" t="s">
        <v>777</v>
      </c>
      <c r="G454" s="91" t="s">
        <v>33</v>
      </c>
      <c r="H454" s="32">
        <v>72</v>
      </c>
      <c r="I454" s="31">
        <v>70</v>
      </c>
      <c r="J454" s="99">
        <v>60</v>
      </c>
      <c r="K454" s="96">
        <v>104</v>
      </c>
      <c r="L454" s="19"/>
    </row>
    <row r="455" spans="1:12" ht="15" thickBot="1" x14ac:dyDescent="0.4">
      <c r="A455" s="46">
        <f t="shared" si="7"/>
        <v>453</v>
      </c>
      <c r="B455" s="56">
        <v>12607030</v>
      </c>
      <c r="C455" s="48">
        <v>41034685</v>
      </c>
      <c r="D455" s="49" t="s">
        <v>827</v>
      </c>
      <c r="E455" s="49" t="s">
        <v>828</v>
      </c>
      <c r="F455" s="49" t="s">
        <v>744</v>
      </c>
      <c r="G455" s="91" t="s">
        <v>33</v>
      </c>
      <c r="H455" s="32">
        <v>21</v>
      </c>
      <c r="I455" s="31">
        <v>17</v>
      </c>
      <c r="J455" s="99">
        <v>63</v>
      </c>
      <c r="K455" s="96">
        <v>43</v>
      </c>
      <c r="L455" s="19"/>
    </row>
    <row r="456" spans="1:12" ht="15" thickBot="1" x14ac:dyDescent="0.4">
      <c r="A456" s="46">
        <f t="shared" si="7"/>
        <v>454</v>
      </c>
      <c r="B456" s="56"/>
      <c r="C456" s="48">
        <v>41086296</v>
      </c>
      <c r="D456" s="49" t="s">
        <v>829</v>
      </c>
      <c r="E456" s="49" t="s">
        <v>804</v>
      </c>
      <c r="F456" s="49" t="s">
        <v>804</v>
      </c>
      <c r="G456" s="91" t="s">
        <v>33</v>
      </c>
      <c r="H456" s="32">
        <v>0</v>
      </c>
      <c r="I456" s="31">
        <v>0</v>
      </c>
      <c r="J456" s="99">
        <v>0</v>
      </c>
      <c r="K456" s="96">
        <v>0</v>
      </c>
      <c r="L456" s="19"/>
    </row>
    <row r="457" spans="1:12" ht="15" thickBot="1" x14ac:dyDescent="0.4">
      <c r="A457" s="46">
        <f t="shared" si="7"/>
        <v>455</v>
      </c>
      <c r="B457" s="58">
        <v>12564350</v>
      </c>
      <c r="C457" s="59">
        <v>41047912</v>
      </c>
      <c r="D457" s="60" t="s">
        <v>830</v>
      </c>
      <c r="E457" s="60" t="s">
        <v>831</v>
      </c>
      <c r="F457" s="60" t="s">
        <v>777</v>
      </c>
      <c r="G457" s="93" t="s">
        <v>33</v>
      </c>
      <c r="H457" s="32">
        <v>48</v>
      </c>
      <c r="I457" s="31">
        <v>56</v>
      </c>
      <c r="J457" s="99">
        <v>148</v>
      </c>
      <c r="K457" s="96">
        <v>182</v>
      </c>
      <c r="L457" s="19"/>
    </row>
    <row r="458" spans="1:12" ht="15" thickBot="1" x14ac:dyDescent="0.4">
      <c r="A458" s="77">
        <f>+A457</f>
        <v>455</v>
      </c>
      <c r="B458" s="78"/>
      <c r="C458" s="79"/>
      <c r="D458" s="80" t="s">
        <v>832</v>
      </c>
      <c r="E458" s="81"/>
      <c r="F458" s="81"/>
      <c r="G458" s="94"/>
      <c r="H458" s="82">
        <f>SUM(H3:H457)</f>
        <v>20779.510000000002</v>
      </c>
      <c r="I458" s="82">
        <f t="shared" ref="I458:K458" si="8">SUM(I3:I457)</f>
        <v>21688</v>
      </c>
      <c r="J458" s="86">
        <v>42441.52</v>
      </c>
      <c r="K458" s="97">
        <f t="shared" si="8"/>
        <v>48124.02</v>
      </c>
      <c r="L458" s="19"/>
    </row>
    <row r="459" spans="1:12" x14ac:dyDescent="0.35">
      <c r="A459" s="33"/>
      <c r="B459" s="34"/>
      <c r="C459" s="35"/>
      <c r="D459" s="36"/>
      <c r="E459" s="37"/>
      <c r="F459" s="37"/>
      <c r="G459" s="38"/>
      <c r="H459" s="39"/>
      <c r="I459" s="5"/>
      <c r="J459" s="39"/>
      <c r="K459" s="5"/>
      <c r="L459" s="19"/>
    </row>
    <row r="460" spans="1:12" ht="24.75" customHeight="1" x14ac:dyDescent="0.35">
      <c r="C460" s="26" t="s">
        <v>20</v>
      </c>
      <c r="D460" s="17"/>
      <c r="E460" s="15"/>
      <c r="F460" s="15"/>
      <c r="G460" s="13"/>
      <c r="H460" s="5"/>
      <c r="I460" s="18"/>
      <c r="J460" s="16"/>
      <c r="K460" s="16"/>
    </row>
    <row r="461" spans="1:12" s="21" customFormat="1" ht="52.5" customHeight="1" x14ac:dyDescent="0.35">
      <c r="C461" s="22" t="s">
        <v>21</v>
      </c>
      <c r="D461" s="23" t="s">
        <v>22</v>
      </c>
      <c r="E461" s="22" t="s">
        <v>1</v>
      </c>
      <c r="F461" s="24" t="s">
        <v>2</v>
      </c>
      <c r="G461" s="22" t="s">
        <v>23</v>
      </c>
      <c r="H461" s="22" t="s">
        <v>24</v>
      </c>
      <c r="I461" s="25" t="s">
        <v>28</v>
      </c>
      <c r="J461" s="25" t="s">
        <v>29</v>
      </c>
      <c r="K461" s="25" t="s">
        <v>25</v>
      </c>
      <c r="L461" s="25" t="s">
        <v>26</v>
      </c>
    </row>
    <row r="462" spans="1:12" x14ac:dyDescent="0.35">
      <c r="C462" s="84"/>
      <c r="D462" s="84"/>
      <c r="E462" s="85" t="s">
        <v>869</v>
      </c>
      <c r="F462" s="84"/>
      <c r="G462" s="84"/>
      <c r="H462" s="84"/>
      <c r="I462" s="84"/>
      <c r="J462" s="84"/>
      <c r="K462" s="84"/>
      <c r="L462" s="84"/>
    </row>
  </sheetData>
  <mergeCells count="1">
    <mergeCell ref="H1:K1"/>
  </mergeCells>
  <conditionalFormatting sqref="D227:D230 D29:D36 D3:D27">
    <cfRule type="duplicateValues" dxfId="63" priority="59"/>
  </conditionalFormatting>
  <conditionalFormatting sqref="D38">
    <cfRule type="duplicateValues" dxfId="62" priority="58"/>
  </conditionalFormatting>
  <conditionalFormatting sqref="D38">
    <cfRule type="duplicateValues" dxfId="61" priority="57"/>
  </conditionalFormatting>
  <conditionalFormatting sqref="D39">
    <cfRule type="duplicateValues" dxfId="60" priority="56"/>
  </conditionalFormatting>
  <conditionalFormatting sqref="D39">
    <cfRule type="duplicateValues" dxfId="59" priority="55"/>
  </conditionalFormatting>
  <conditionalFormatting sqref="D92">
    <cfRule type="duplicateValues" dxfId="58" priority="51"/>
  </conditionalFormatting>
  <conditionalFormatting sqref="D92">
    <cfRule type="duplicateValues" dxfId="57" priority="52"/>
  </conditionalFormatting>
  <conditionalFormatting sqref="D60:D61">
    <cfRule type="duplicateValues" dxfId="56" priority="35"/>
  </conditionalFormatting>
  <conditionalFormatting sqref="D62:D63">
    <cfRule type="duplicateValues" dxfId="55" priority="33"/>
  </conditionalFormatting>
  <conditionalFormatting sqref="D131">
    <cfRule type="duplicateValues" dxfId="54" priority="54"/>
  </conditionalFormatting>
  <conditionalFormatting sqref="D421:D457 D68 D40:D54 D3:D27 D227:D230 D29:D36">
    <cfRule type="duplicateValues" dxfId="53" priority="60"/>
  </conditionalFormatting>
  <conditionalFormatting sqref="D131">
    <cfRule type="duplicateValues" dxfId="52" priority="53"/>
  </conditionalFormatting>
  <conditionalFormatting sqref="D222">
    <cfRule type="duplicateValues" dxfId="51" priority="49"/>
  </conditionalFormatting>
  <conditionalFormatting sqref="D222">
    <cfRule type="duplicateValues" dxfId="50" priority="50"/>
  </conditionalFormatting>
  <conditionalFormatting sqref="D223">
    <cfRule type="duplicateValues" dxfId="49" priority="47"/>
  </conditionalFormatting>
  <conditionalFormatting sqref="D223">
    <cfRule type="duplicateValues" dxfId="48" priority="48"/>
  </conditionalFormatting>
  <conditionalFormatting sqref="D307">
    <cfRule type="duplicateValues" dxfId="47" priority="46"/>
  </conditionalFormatting>
  <conditionalFormatting sqref="D295">
    <cfRule type="duplicateValues" dxfId="46" priority="45"/>
  </conditionalFormatting>
  <conditionalFormatting sqref="D265">
    <cfRule type="duplicateValues" dxfId="45" priority="44"/>
  </conditionalFormatting>
  <conditionalFormatting sqref="D308:D310">
    <cfRule type="duplicateValues" dxfId="44" priority="43"/>
  </conditionalFormatting>
  <conditionalFormatting sqref="D264">
    <cfRule type="duplicateValues" dxfId="43" priority="42"/>
  </conditionalFormatting>
  <conditionalFormatting sqref="D360">
    <cfRule type="duplicateValues" dxfId="42" priority="41"/>
  </conditionalFormatting>
  <conditionalFormatting sqref="D361">
    <cfRule type="duplicateValues" dxfId="41" priority="40"/>
  </conditionalFormatting>
  <conditionalFormatting sqref="D362">
    <cfRule type="duplicateValues" dxfId="40" priority="39"/>
  </conditionalFormatting>
  <conditionalFormatting sqref="D388">
    <cfRule type="duplicateValues" dxfId="39" priority="61"/>
  </conditionalFormatting>
  <conditionalFormatting sqref="D132">
    <cfRule type="duplicateValues" dxfId="38" priority="62"/>
  </conditionalFormatting>
  <conditionalFormatting sqref="D133">
    <cfRule type="duplicateValues" dxfId="37" priority="37"/>
  </conditionalFormatting>
  <conditionalFormatting sqref="D133">
    <cfRule type="duplicateValues" dxfId="36" priority="38"/>
  </conditionalFormatting>
  <conditionalFormatting sqref="D363:D365">
    <cfRule type="duplicateValues" dxfId="35" priority="36"/>
  </conditionalFormatting>
  <conditionalFormatting sqref="D311 D59">
    <cfRule type="duplicateValues" dxfId="34" priority="63"/>
  </conditionalFormatting>
  <conditionalFormatting sqref="D389">
    <cfRule type="duplicateValues" dxfId="33" priority="34"/>
  </conditionalFormatting>
  <conditionalFormatting sqref="D224">
    <cfRule type="duplicateValues" dxfId="32" priority="31"/>
  </conditionalFormatting>
  <conditionalFormatting sqref="D224">
    <cfRule type="duplicateValues" dxfId="31" priority="32"/>
  </conditionalFormatting>
  <conditionalFormatting sqref="D155">
    <cfRule type="duplicateValues" dxfId="30" priority="30"/>
  </conditionalFormatting>
  <conditionalFormatting sqref="D312:D313">
    <cfRule type="duplicateValues" dxfId="29" priority="29"/>
  </conditionalFormatting>
  <conditionalFormatting sqref="D386">
    <cfRule type="duplicateValues" dxfId="28" priority="28"/>
  </conditionalFormatting>
  <conditionalFormatting sqref="D304">
    <cfRule type="duplicateValues" dxfId="27" priority="27"/>
  </conditionalFormatting>
  <conditionalFormatting sqref="D390:D391">
    <cfRule type="duplicateValues" dxfId="26" priority="26"/>
  </conditionalFormatting>
  <conditionalFormatting sqref="D303">
    <cfRule type="duplicateValues" dxfId="25" priority="25"/>
  </conditionalFormatting>
  <conditionalFormatting sqref="D314">
    <cfRule type="duplicateValues" dxfId="24" priority="24"/>
  </conditionalFormatting>
  <conditionalFormatting sqref="D315">
    <cfRule type="duplicateValues" dxfId="23" priority="64"/>
  </conditionalFormatting>
  <conditionalFormatting sqref="D266">
    <cfRule type="duplicateValues" dxfId="22" priority="23"/>
  </conditionalFormatting>
  <conditionalFormatting sqref="D367">
    <cfRule type="duplicateValues" dxfId="21" priority="22"/>
  </conditionalFormatting>
  <conditionalFormatting sqref="D64:D65">
    <cfRule type="duplicateValues" dxfId="20" priority="21"/>
  </conditionalFormatting>
  <conditionalFormatting sqref="D321">
    <cfRule type="duplicateValues" dxfId="19" priority="20"/>
  </conditionalFormatting>
  <conditionalFormatting sqref="D316">
    <cfRule type="duplicateValues" dxfId="18" priority="19"/>
  </conditionalFormatting>
  <conditionalFormatting sqref="D66:D67">
    <cfRule type="duplicateValues" dxfId="17" priority="18"/>
  </conditionalFormatting>
  <conditionalFormatting sqref="D267">
    <cfRule type="duplicateValues" dxfId="16" priority="17"/>
  </conditionalFormatting>
  <conditionalFormatting sqref="B272">
    <cfRule type="duplicateValues" dxfId="15" priority="15"/>
    <cfRule type="duplicateValues" dxfId="14" priority="16"/>
  </conditionalFormatting>
  <conditionalFormatting sqref="D369">
    <cfRule type="duplicateValues" dxfId="13" priority="14"/>
  </conditionalFormatting>
  <conditionalFormatting sqref="D368">
    <cfRule type="duplicateValues" dxfId="12" priority="13"/>
  </conditionalFormatting>
  <conditionalFormatting sqref="D268">
    <cfRule type="duplicateValues" dxfId="11" priority="12"/>
  </conditionalFormatting>
  <conditionalFormatting sqref="D317">
    <cfRule type="duplicateValues" dxfId="10" priority="11"/>
  </conditionalFormatting>
  <conditionalFormatting sqref="D231">
    <cfRule type="duplicateValues" dxfId="9" priority="9"/>
  </conditionalFormatting>
  <conditionalFormatting sqref="D231">
    <cfRule type="duplicateValues" dxfId="8" priority="10"/>
  </conditionalFormatting>
  <conditionalFormatting sqref="D318">
    <cfRule type="duplicateValues" dxfId="7" priority="8"/>
  </conditionalFormatting>
  <conditionalFormatting sqref="D269:D271">
    <cfRule type="duplicateValues" dxfId="6" priority="7"/>
  </conditionalFormatting>
  <conditionalFormatting sqref="D232">
    <cfRule type="duplicateValues" dxfId="5" priority="5"/>
  </conditionalFormatting>
  <conditionalFormatting sqref="D232">
    <cfRule type="duplicateValues" dxfId="4" priority="6"/>
  </conditionalFormatting>
  <conditionalFormatting sqref="D392">
    <cfRule type="duplicateValues" dxfId="3" priority="4"/>
  </conditionalFormatting>
  <conditionalFormatting sqref="D134">
    <cfRule type="duplicateValues" dxfId="2" priority="2"/>
  </conditionalFormatting>
  <conditionalFormatting sqref="D134">
    <cfRule type="duplicateValues" dxfId="1" priority="3"/>
  </conditionalFormatting>
  <conditionalFormatting sqref="D319:D320">
    <cfRule type="duplicateValues" dxfId="0" priority="1"/>
  </conditionalFormatting>
  <pageMargins left="0.25" right="0.25" top="0.75" bottom="0.75" header="0.3" footer="0.3"/>
  <pageSetup scale="1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I10"/>
  <sheetViews>
    <sheetView workbookViewId="0">
      <selection activeCell="G10" sqref="G10"/>
    </sheetView>
  </sheetViews>
  <sheetFormatPr defaultRowHeight="14.5" x14ac:dyDescent="0.35"/>
  <sheetData>
    <row r="3" spans="3:9" x14ac:dyDescent="0.35">
      <c r="D3" t="s">
        <v>9</v>
      </c>
      <c r="F3" t="s">
        <v>10</v>
      </c>
      <c r="H3" t="s">
        <v>11</v>
      </c>
    </row>
    <row r="4" spans="3:9" ht="17.5" x14ac:dyDescent="0.35">
      <c r="C4" t="s">
        <v>4</v>
      </c>
      <c r="D4" s="8">
        <v>3070</v>
      </c>
      <c r="E4" s="8">
        <v>2860</v>
      </c>
      <c r="F4" s="8">
        <v>4950</v>
      </c>
      <c r="G4" s="8">
        <v>3890</v>
      </c>
      <c r="H4" s="8">
        <v>12</v>
      </c>
      <c r="I4" s="8">
        <v>10</v>
      </c>
    </row>
    <row r="5" spans="3:9" ht="17.5" x14ac:dyDescent="0.35">
      <c r="C5" t="s">
        <v>12</v>
      </c>
      <c r="D5" s="8">
        <v>2300</v>
      </c>
      <c r="E5" s="8">
        <v>2273</v>
      </c>
      <c r="F5" s="8">
        <v>4700</v>
      </c>
      <c r="G5" s="8">
        <v>4162</v>
      </c>
      <c r="H5" s="8">
        <v>27</v>
      </c>
      <c r="I5" s="8">
        <v>25</v>
      </c>
    </row>
    <row r="6" spans="3:9" ht="17.5" x14ac:dyDescent="0.35">
      <c r="C6" t="s">
        <v>13</v>
      </c>
      <c r="D6" s="8">
        <v>2245</v>
      </c>
      <c r="E6" s="8">
        <v>2029</v>
      </c>
      <c r="F6" s="8">
        <v>3479</v>
      </c>
      <c r="G6" s="8">
        <v>2814</v>
      </c>
      <c r="H6" s="8">
        <v>16</v>
      </c>
      <c r="I6" s="8">
        <v>15</v>
      </c>
    </row>
    <row r="7" spans="3:9" ht="17.5" x14ac:dyDescent="0.35">
      <c r="C7" t="s">
        <v>14</v>
      </c>
      <c r="D7" s="8">
        <v>4040</v>
      </c>
      <c r="E7" s="8">
        <v>3735</v>
      </c>
      <c r="F7" s="8">
        <v>5063</v>
      </c>
      <c r="G7" s="8">
        <v>4010</v>
      </c>
      <c r="H7" s="8">
        <v>8</v>
      </c>
      <c r="I7" s="8">
        <v>18</v>
      </c>
    </row>
    <row r="8" spans="3:9" ht="17.5" x14ac:dyDescent="0.35">
      <c r="C8" t="s">
        <v>15</v>
      </c>
      <c r="D8" s="8">
        <v>2524</v>
      </c>
      <c r="E8" s="8">
        <v>2299</v>
      </c>
      <c r="F8" s="8">
        <v>4676</v>
      </c>
      <c r="G8" s="8">
        <v>3738</v>
      </c>
      <c r="H8" s="8">
        <v>31</v>
      </c>
      <c r="I8" s="8">
        <v>18</v>
      </c>
    </row>
    <row r="9" spans="3:9" ht="17.5" x14ac:dyDescent="0.35">
      <c r="C9" t="s">
        <v>16</v>
      </c>
      <c r="D9" s="8">
        <v>2436</v>
      </c>
      <c r="E9" s="8">
        <v>2205</v>
      </c>
      <c r="F9" s="8">
        <v>3961</v>
      </c>
      <c r="G9" s="8">
        <v>2925</v>
      </c>
      <c r="H9" s="8">
        <v>12</v>
      </c>
      <c r="I9" s="8">
        <v>13</v>
      </c>
    </row>
    <row r="10" spans="3:9" x14ac:dyDescent="0.35">
      <c r="D10">
        <f t="shared" ref="D10:I10" si="0">SUM(D4:D9)</f>
        <v>16615</v>
      </c>
      <c r="E10">
        <f t="shared" si="0"/>
        <v>15401</v>
      </c>
      <c r="F10">
        <f t="shared" si="0"/>
        <v>26829</v>
      </c>
      <c r="G10">
        <f t="shared" si="0"/>
        <v>21539</v>
      </c>
      <c r="H10">
        <f t="shared" si="0"/>
        <v>106</v>
      </c>
      <c r="I10">
        <f t="shared" si="0"/>
        <v>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2026-05-01T06:23:05Z</dcterms:modified>
</cp:coreProperties>
</file>