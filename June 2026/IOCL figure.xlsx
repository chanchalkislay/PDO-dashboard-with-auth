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99294f6f6ba084/01 Pune/00 2025/2026-27/June 2026/"/>
    </mc:Choice>
  </mc:AlternateContent>
  <xr:revisionPtr revIDLastSave="28" documentId="8_{F847794E-68A9-400D-A0DD-70047ECB219A}" xr6:coauthVersionLast="47" xr6:coauthVersionMax="47" xr10:uidLastSave="{62DFEEF8-AE27-4E2D-8DF0-B3DDCEE1C4F5}"/>
  <bookViews>
    <workbookView xWindow="2280" yWindow="2280" windowWidth="28800" windowHeight="15370" xr2:uid="{50FC4408-F938-41AB-9C52-D101283F43AC}"/>
  </bookViews>
  <sheets>
    <sheet name="Industry Sharing" sheetId="1" r:id="rId1"/>
    <sheet name="MS SAP Dump" sheetId="2" r:id="rId2"/>
    <sheet name="HSD SAP Dump" sheetId="3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70" i="1"/>
  <c r="F470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3" i="1"/>
  <c r="F3" i="1"/>
  <c r="H2" i="1"/>
  <c r="F2" i="1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3"/>
  <c r="F2" i="2"/>
</calcChain>
</file>

<file path=xl/sharedStrings.xml><?xml version="1.0" encoding="utf-8"?>
<sst xmlns="http://schemas.openxmlformats.org/spreadsheetml/2006/main" count="7522" uniqueCount="1313">
  <si>
    <t>SAP Code</t>
  </si>
  <si>
    <t>RETAIL OUTLET</t>
  </si>
  <si>
    <t>OIL CO</t>
  </si>
  <si>
    <t>Sales Area</t>
  </si>
  <si>
    <t>District</t>
  </si>
  <si>
    <t>NATIONAL PETROLEUM</t>
  </si>
  <si>
    <t>IOCL</t>
  </si>
  <si>
    <t>Pune Saswad RSA</t>
  </si>
  <si>
    <t>Pune</t>
  </si>
  <si>
    <t>SHIVNER FILLING STATION</t>
  </si>
  <si>
    <t>Pimpri Chinchwad RSA</t>
  </si>
  <si>
    <t>SHREE SAI KRUPA SERVICES</t>
  </si>
  <si>
    <t>Pune City RSA</t>
  </si>
  <si>
    <t>ANIL AUTOMOBILES-MODNIMB (H)</t>
  </si>
  <si>
    <t>Pune Tathawade RSA</t>
  </si>
  <si>
    <t>D.S.Bhosale &amp; Co</t>
  </si>
  <si>
    <t>Shirdi RSA</t>
  </si>
  <si>
    <t>Ahmednagar</t>
  </si>
  <si>
    <t>Kothari Automobiles</t>
  </si>
  <si>
    <t>Ahmednagar West RSA</t>
  </si>
  <si>
    <t>Musmade &amp; Sons.</t>
  </si>
  <si>
    <t>Sanjivani Ssk Ltd.</t>
  </si>
  <si>
    <t>Sangamner S.S Sangh Ltd</t>
  </si>
  <si>
    <t>Shri Sai Service Centre</t>
  </si>
  <si>
    <t>Sarda Brothers</t>
  </si>
  <si>
    <t>A.B.Petroleum</t>
  </si>
  <si>
    <t>Ahmednagar East RSA</t>
  </si>
  <si>
    <t>Belapur Bk V.K.Sah.Seva S.Mary</t>
  </si>
  <si>
    <t>Bhatiyani Filling Station</t>
  </si>
  <si>
    <t>C.B.Ghogre &amp; Co</t>
  </si>
  <si>
    <t>Daulat Service Station</t>
  </si>
  <si>
    <t>Friends Service Station</t>
  </si>
  <si>
    <t>Laxmi Service Station</t>
  </si>
  <si>
    <t>Sona Enterprises</t>
  </si>
  <si>
    <t>Manav Highway Services</t>
  </si>
  <si>
    <t>Nirmala Shahu Service Station</t>
  </si>
  <si>
    <t>Shivprasad Service Station</t>
  </si>
  <si>
    <t>Trimurti Automobiles</t>
  </si>
  <si>
    <t>KOYNA SAH DUDH UTP</t>
  </si>
  <si>
    <t>Satara West RSA</t>
  </si>
  <si>
    <t>Satara</t>
  </si>
  <si>
    <t>KARAD TAL.K.V.S.LTD</t>
  </si>
  <si>
    <t>PATAN TAL.S.K.V.SANGH LTD.</t>
  </si>
  <si>
    <t>SHRINATH PETROLEUM</t>
  </si>
  <si>
    <t>Satara East RSA</t>
  </si>
  <si>
    <t>SHIVRAJ SERVICE STN.</t>
  </si>
  <si>
    <t>AUTO ENTERPRISES</t>
  </si>
  <si>
    <t>Pune Hadapsar RSA</t>
  </si>
  <si>
    <t>ANAND SERVICE STATION</t>
  </si>
  <si>
    <t>BHARAT SERVICE CENTRE</t>
  </si>
  <si>
    <t>CHHATRAPATI S.S.K.LTD</t>
  </si>
  <si>
    <t>CHAITANYA AUTOMOBILES</t>
  </si>
  <si>
    <t>Pune Wagholi RSA</t>
  </si>
  <si>
    <t>D MELLO SERVICE STATION</t>
  </si>
  <si>
    <t>GHULE SERVICE STATION</t>
  </si>
  <si>
    <t>HINDUSTAN SERVICE STATION</t>
  </si>
  <si>
    <t>J C SHAH</t>
  </si>
  <si>
    <t>Jagdamba Krishi Seva Kendra</t>
  </si>
  <si>
    <t>KALE SERVICE STATION,</t>
  </si>
  <si>
    <t>M&amp;D SALES &amp; SERVICES</t>
  </si>
  <si>
    <t>MODERN AUTOMOBILES-CHINCHAWAD</t>
  </si>
  <si>
    <t>NANDKUMAR &amp; CO.</t>
  </si>
  <si>
    <t>N G PAWAR OIL &amp; TR CO.</t>
  </si>
  <si>
    <t>KRISHI UTPANNA BAZAR SAMITI</t>
  </si>
  <si>
    <t>PRATHAMESH PETROLEUM SERVICE</t>
  </si>
  <si>
    <t>PRITAM PETROLEUM</t>
  </si>
  <si>
    <t>PATIL &amp; SONS</t>
  </si>
  <si>
    <t>SHRI MAHALAXMI FUEL STATION</t>
  </si>
  <si>
    <t>Punjab Auto Services</t>
  </si>
  <si>
    <t>POONAM AUTOMOBILES</t>
  </si>
  <si>
    <t>RAMESHWAR PETROL CENTRE</t>
  </si>
  <si>
    <t>RENUKA PETROL &amp; DIESEL PUMP</t>
  </si>
  <si>
    <t>SHRIRAM S.S.K. LTD</t>
  </si>
  <si>
    <t>SURE PETROLEUM</t>
  </si>
  <si>
    <t>SAIPOOJA PETROLEUM</t>
  </si>
  <si>
    <t>SHRI ASHTAVINAYAK AUTOMOBILES</t>
  </si>
  <si>
    <t>SILVER JUBILEE MOTORS</t>
  </si>
  <si>
    <t>SAVANI SERVICE STATION</t>
  </si>
  <si>
    <t>S.M. Bhandari</t>
  </si>
  <si>
    <t>SCOOTER SERVICE STATION</t>
  </si>
  <si>
    <t>Krishi Seva Services</t>
  </si>
  <si>
    <t>SURENDRA AUTOMOBILES</t>
  </si>
  <si>
    <t>SHREE SEVA</t>
  </si>
  <si>
    <t>SHROFF PETROLEUM</t>
  </si>
  <si>
    <t>SHAH &amp; CO.</t>
  </si>
  <si>
    <t>SHIV PRIYANKA PETROLEUM</t>
  </si>
  <si>
    <t>SHRIRAM PETROLEUM</t>
  </si>
  <si>
    <t>UNITY OIL &amp; TR SERVICES</t>
  </si>
  <si>
    <t>Uttam Agencies</t>
  </si>
  <si>
    <t>VAIBHAV SERVICE CENTER</t>
  </si>
  <si>
    <t>VIKRAM AUTOMOBILES</t>
  </si>
  <si>
    <t>YADAV SERVICE STATION-LOHEGAON</t>
  </si>
  <si>
    <t>BEGAWALA FL.STN.</t>
  </si>
  <si>
    <t>POONAMPETROLEUMCO. MS DEALER</t>
  </si>
  <si>
    <t>NEW AUTO CORNER-SOMATANE</t>
  </si>
  <si>
    <t>BADIYANI BROTHERS-KARAD</t>
  </si>
  <si>
    <t>NAMRATA SERVICE CENTRE</t>
  </si>
  <si>
    <t>SUBHASH SERVICE STATION</t>
  </si>
  <si>
    <t>GANGA AUTO SERVICES-HADAPSAR</t>
  </si>
  <si>
    <t>DEHU SERVICE STATION</t>
  </si>
  <si>
    <t>SHRI SWAMI SAMARTH AUTO -KHARABWADI</t>
  </si>
  <si>
    <t>ABHAY PETROL PUMP-SANSAR</t>
  </si>
  <si>
    <t>PREMCHAND RATANCHAND &amp; CO.-PIMPRI</t>
  </si>
  <si>
    <t>Samarth Petrol Pump-Talegaon</t>
  </si>
  <si>
    <t>Shri Sai Shivraj Petroleum</t>
  </si>
  <si>
    <t>Sewa Auto Centre</t>
  </si>
  <si>
    <t>Ganesh Service Station</t>
  </si>
  <si>
    <t>Surya Petroleum</t>
  </si>
  <si>
    <t>Shri Balaji Petroleum</t>
  </si>
  <si>
    <t>Sanjay Petroleum</t>
  </si>
  <si>
    <t>Om Matoshri Petroleum</t>
  </si>
  <si>
    <t>3S Service Station</t>
  </si>
  <si>
    <t>Om Gurudev Petroleum</t>
  </si>
  <si>
    <t>Bharne Petroleum</t>
  </si>
  <si>
    <t>Taware Petroleum</t>
  </si>
  <si>
    <t>Green Park Petrol Pump</t>
  </si>
  <si>
    <t>Pathik Fuels</t>
  </si>
  <si>
    <t>A.M. K. Enterprises</t>
  </si>
  <si>
    <t>Jay Ganesh Petroleum</t>
  </si>
  <si>
    <t>Jagdale Petroleum</t>
  </si>
  <si>
    <t>Shubham Automobiles</t>
  </si>
  <si>
    <t>ARMED FORCES EX OFFICERS' CO-OP</t>
  </si>
  <si>
    <t>MADHUPRAYAG SALES &amp; SERVI</t>
  </si>
  <si>
    <t>PATAN TAL. SKVS -MHAVSHI</t>
  </si>
  <si>
    <t>Daulat Petroleum (Resitem</t>
  </si>
  <si>
    <t>BHOSALE SALES &amp; SERVICE</t>
  </si>
  <si>
    <t>PRANAV SERVICE STATION</t>
  </si>
  <si>
    <t>SUKHWANI PETROLEUM</t>
  </si>
  <si>
    <t>TRINETRA PETROLEUM</t>
  </si>
  <si>
    <t>AMIT HIGHWAY CENTRE</t>
  </si>
  <si>
    <t>SHRINIDHI PETROLEUM</t>
  </si>
  <si>
    <t>Jadhav Petroleum</t>
  </si>
  <si>
    <t>ADITYA PETROLEUM</t>
  </si>
  <si>
    <t>DWARKADHISH PETROLEUM</t>
  </si>
  <si>
    <t>KUNJAN SERVICE CENTRE</t>
  </si>
  <si>
    <t>NISHNAI DEVI MSGSM</t>
  </si>
  <si>
    <t>Kopargaon Vividh Sahakari Society</t>
  </si>
  <si>
    <t>Rajput Auto</t>
  </si>
  <si>
    <t>Shree Sai Sunny Services</t>
  </si>
  <si>
    <t>Shakti Auto Centre</t>
  </si>
  <si>
    <t>Yash Petroleum</t>
  </si>
  <si>
    <t>ABC INDIA LTD</t>
  </si>
  <si>
    <t>ALFA AUTOS</t>
  </si>
  <si>
    <t>BAFNA BROTHERS (MS)</t>
  </si>
  <si>
    <t>JYOTI PETROLEUM</t>
  </si>
  <si>
    <t>KAJALE &amp; SONS (MS)</t>
  </si>
  <si>
    <t>MAHADEVI PETROL DEPOT</t>
  </si>
  <si>
    <t>PIMPLE PETROLEUM</t>
  </si>
  <si>
    <t>SAI SAMARTHA PETROLEUM</t>
  </si>
  <si>
    <t>SAI PETRO HUB</t>
  </si>
  <si>
    <t>SHRI BALAJI PETROLEUM</t>
  </si>
  <si>
    <t>ATHARVA PETROLEUM</t>
  </si>
  <si>
    <t>GURUDEO  PETROLEUM</t>
  </si>
  <si>
    <t>KARAD TALUKA KVS LTD. MARKET Y</t>
  </si>
  <si>
    <t>UNIQUE PETROLEUM</t>
  </si>
  <si>
    <t>MORYA PETROLEUM</t>
  </si>
  <si>
    <t>YOGESH SERVICE STATION</t>
  </si>
  <si>
    <t>MALHAR PETROLUM</t>
  </si>
  <si>
    <t>SHAHID LT.COL.PRAKASH PATIL PE</t>
  </si>
  <si>
    <t>AKSHAYKIRAN PETROLEUM</t>
  </si>
  <si>
    <t>SHRI SEVAGIRI PETROLEUM</t>
  </si>
  <si>
    <t>SAI PETRO STATION</t>
  </si>
  <si>
    <t>SHRI SAILEELA PETROLEUM</t>
  </si>
  <si>
    <t>Sai Samarth Petroleum</t>
  </si>
  <si>
    <t>MORE PETROLEUM</t>
  </si>
  <si>
    <t>Shivratna Petroleum</t>
  </si>
  <si>
    <t>Bhagyodaya Petroleum</t>
  </si>
  <si>
    <t>THE MALEGAON SSK PETROLEUM LTD</t>
  </si>
  <si>
    <t>BARAMATI TALUKA SAH. DUDH UTP.S.MRY</t>
  </si>
  <si>
    <t>Shri Dnyaneshwar Ssk Ltd Petro</t>
  </si>
  <si>
    <t>NATH KRUPA PETROLEUM</t>
  </si>
  <si>
    <t>SOHAM PETROLEUM</t>
  </si>
  <si>
    <t>Varad Petroleum Kisan Seva Kendra</t>
  </si>
  <si>
    <t>LOKSEVA PETROLEUM</t>
  </si>
  <si>
    <t>Gajanan Kripa Petroleum</t>
  </si>
  <si>
    <t>SHREE ROHIT SERVICE STATION</t>
  </si>
  <si>
    <t>SAI SAHARA PETROLEUM</t>
  </si>
  <si>
    <t>Dwarka &amp; Sons Auto Service</t>
  </si>
  <si>
    <t>ASHWAMEDH KISAN SEVA KENDRA</t>
  </si>
  <si>
    <t>Pancharatna Petroleum</t>
  </si>
  <si>
    <t>Prabhatrang Petroleum</t>
  </si>
  <si>
    <t>Raj Petroleum</t>
  </si>
  <si>
    <t>DNYAN-GANGA PETROLEUM</t>
  </si>
  <si>
    <t>Indrayani Petro Sales</t>
  </si>
  <si>
    <t>Hon. MLA Shri Radhakrishna</t>
  </si>
  <si>
    <t>BHEGADE SERVICE STATION</t>
  </si>
  <si>
    <t>KALBHOR PETROLEUM</t>
  </si>
  <si>
    <t>SUMEGH PETROLEUM</t>
  </si>
  <si>
    <t xml:space="preserve">OM SHIVAM PETROLEUM SERVICES       </t>
  </si>
  <si>
    <t>Yash Abhijeet Petroleum Service</t>
  </si>
  <si>
    <t>SHRI KANHOBA KISAN SEVA KENDRA</t>
  </si>
  <si>
    <t>CHANDRABHAGA SERVICE STATION</t>
  </si>
  <si>
    <t>Raghuvimal Petroleum</t>
  </si>
  <si>
    <t>Yash Enterprises</t>
  </si>
  <si>
    <t>JAYESH PETRO SERVICES</t>
  </si>
  <si>
    <t>S S Auto Services</t>
  </si>
  <si>
    <t>SARASWATI SERVICE STATION</t>
  </si>
  <si>
    <t>IMPERIAL PETROLEUM</t>
  </si>
  <si>
    <t>AWALE PETROLEUM</t>
  </si>
  <si>
    <t>SIDDHI FUELS</t>
  </si>
  <si>
    <t>KARAD TALUKA KHAREDI VIKRI S L</t>
  </si>
  <si>
    <t>PATEL PETROLEUMS.</t>
  </si>
  <si>
    <t>BHAVANIDEVI PETROLEUM KSK</t>
  </si>
  <si>
    <t>JRO Lonikand</t>
  </si>
  <si>
    <t>Viva &amp; Sons Petroleum</t>
  </si>
  <si>
    <t>Shree Sairaj Petroleum</t>
  </si>
  <si>
    <t>BHONGLE PETROLEUM</t>
  </si>
  <si>
    <t>Vishwas Kisan Seva Kendra</t>
  </si>
  <si>
    <t>Srinath Kisan Seva Kendra</t>
  </si>
  <si>
    <t>Guruji Petroleum</t>
  </si>
  <si>
    <t>MAHADEV PETROLEUM KSK</t>
  </si>
  <si>
    <t>Shree Sai Anand Petroleum</t>
  </si>
  <si>
    <t>Tanishq Petroleum Ksk</t>
  </si>
  <si>
    <t>A.P.M.C. Kisan Seva Kendra</t>
  </si>
  <si>
    <t>Yogiraj Petroleum Ksk</t>
  </si>
  <si>
    <t>Shri Radhakrishna Vikhe Patil</t>
  </si>
  <si>
    <t>Shri Mulik Petroleum(29.4.09)</t>
  </si>
  <si>
    <t>SAI DWARAKA PETROLEUM</t>
  </si>
  <si>
    <t>Amruttara Kisan Seva Kendra</t>
  </si>
  <si>
    <t>Preetam Service Station</t>
  </si>
  <si>
    <t>Shahid Ambadas Pawar Service</t>
  </si>
  <si>
    <t>Rohan Petroleum</t>
  </si>
  <si>
    <t>KAMAL SAMPATTI PETROLEUM</t>
  </si>
  <si>
    <t>COCO WADUJ (232087 - Torve Petrol Station 379479)</t>
  </si>
  <si>
    <t>COCO Rajgurunagar</t>
  </si>
  <si>
    <t>WANKHEDE PETRO SERVICES</t>
  </si>
  <si>
    <t>SARHAAN PETROLEUM</t>
  </si>
  <si>
    <t>Om Mangal Shanti Petroleum</t>
  </si>
  <si>
    <t>PHADTARE KRUSHI SEVA KENDRA</t>
  </si>
  <si>
    <t>Simratmal Kundanmal &amp; Sons</t>
  </si>
  <si>
    <t>DHAMALE PETROLEUM KISAN SEVA K</t>
  </si>
  <si>
    <t>MANGALMURTI KISAN SEVA KENDRA</t>
  </si>
  <si>
    <t>Vipul Fuel Station</t>
  </si>
  <si>
    <t>VYANKATESH PETROLEUM</t>
  </si>
  <si>
    <t>JAI MALHAR KISAN SEVA KENDRA</t>
  </si>
  <si>
    <t>SHREE SANT MUKTABAI KSK</t>
  </si>
  <si>
    <t>SHRI GANESH SEVA KENDRA</t>
  </si>
  <si>
    <t>KRUSHNA PETROLEUM</t>
  </si>
  <si>
    <t>Mahesh Highway Services</t>
  </si>
  <si>
    <t>SAI PETRO LINKS</t>
  </si>
  <si>
    <t>BOLAI MATA PETROLEUM KSK</t>
  </si>
  <si>
    <t>NEW PHALTAN SUGAR KSK</t>
  </si>
  <si>
    <t>Kharde Patil &amp; Sons</t>
  </si>
  <si>
    <t>Baba Petroleum Kisan Seva Kend</t>
  </si>
  <si>
    <t>Yeola Service Centre</t>
  </si>
  <si>
    <t>YASHRAJ PETROLEUM KSK</t>
  </si>
  <si>
    <t>SHRI HUMJAI KISAN SEVA KENDRA</t>
  </si>
  <si>
    <t>APMC BARAMATI PETROLEUM</t>
  </si>
  <si>
    <t>SADGURU KISAN SEVA KENDRA</t>
  </si>
  <si>
    <t>MANJULAI PETROLEUM KSK</t>
  </si>
  <si>
    <t xml:space="preserve">Shivlaxmi Petroleum </t>
  </si>
  <si>
    <t>Satguru Fuels Ksk</t>
  </si>
  <si>
    <t>Mahalaxmi Auto KSK</t>
  </si>
  <si>
    <t>Sriniwas Petrloleum KSK</t>
  </si>
  <si>
    <t>Yash Petroleum KSK</t>
  </si>
  <si>
    <t>Vighnahar Petroleum KSK</t>
  </si>
  <si>
    <t>Jaywant Petroleum KSK</t>
  </si>
  <si>
    <t>PIONEER PETROLEUM</t>
  </si>
  <si>
    <t>JAIHIND PETROLEUM KSK</t>
  </si>
  <si>
    <t>UNDRE PETROLEUM KSK</t>
  </si>
  <si>
    <t>VISHWAJEET LOKHANDE PETRO KSK</t>
  </si>
  <si>
    <t>BHAGYARAJA PETROLEUM KSK</t>
  </si>
  <si>
    <t>MAA GANGA PETROLEUM KSK</t>
  </si>
  <si>
    <t>KADAM PATIL PETROLEUM KSK</t>
  </si>
  <si>
    <t>USHA PETROLEUM KSK</t>
  </si>
  <si>
    <t>GANRAJ PETROLEUM KSK</t>
  </si>
  <si>
    <t>Venus Petroleum KSK</t>
  </si>
  <si>
    <t>Shri Nandadevi Petroleum</t>
  </si>
  <si>
    <t>Daund Sugar Petroleum KSK</t>
  </si>
  <si>
    <t>Shri Vighnhar Petroleum KSK</t>
  </si>
  <si>
    <t>Dhanashree Petroleum KSK</t>
  </si>
  <si>
    <t>B D Petroleum</t>
  </si>
  <si>
    <t>Bhimashankar Krishi KSK</t>
  </si>
  <si>
    <t>KRIPA PETROLEUM KSK</t>
  </si>
  <si>
    <t>K.K.PETROLEUM</t>
  </si>
  <si>
    <t>DESHMUKH PETROLEUM KSK</t>
  </si>
  <si>
    <t>ROYALE AUTOMOBILES</t>
  </si>
  <si>
    <t>SHARVIL PETROLEUM KSK</t>
  </si>
  <si>
    <t>PATIL PETROLEUM KSK</t>
  </si>
  <si>
    <t>SWAMI KRUPA PETROLEUM</t>
  </si>
  <si>
    <t>SANGRAM PETROLEUM</t>
  </si>
  <si>
    <t>YASH PETROLEUM KISAN SEVA KEND</t>
  </si>
  <si>
    <t>RIYA PETROLEUM KSK</t>
  </si>
  <si>
    <t>VYAWAHARE PETROLEUM KSK</t>
  </si>
  <si>
    <t>BALAJI VISHWA PETROLEUM</t>
  </si>
  <si>
    <t>SHRI DATTAKRUPA PETRO AGENCY</t>
  </si>
  <si>
    <t>HANGESHWAR KISAN SEVA KENDRA</t>
  </si>
  <si>
    <t>SAMRUDDHI PETROLEUM KSK</t>
  </si>
  <si>
    <t>SAI PETROLEUM KSK</t>
  </si>
  <si>
    <t>S. P. PETROLEUM</t>
  </si>
  <si>
    <t>G. P. PETROLEUM KSK</t>
  </si>
  <si>
    <t>HARIYALI FUELS</t>
  </si>
  <si>
    <t>DEOKAR PETROLEUM</t>
  </si>
  <si>
    <t>YASHODEEP PETROLEUM</t>
  </si>
  <si>
    <t>SANT KRUPA PETROLEUM KSK</t>
  </si>
  <si>
    <t>VITTHAL PETROLEUM</t>
  </si>
  <si>
    <t>SHREE SAIRAJ PETROLEUM KSK</t>
  </si>
  <si>
    <t>DATTARAJ PETROLEUM KSK</t>
  </si>
  <si>
    <t>SHREE BALAJI FILLING STATION</t>
  </si>
  <si>
    <t>PRATIK FUELLING CENTRE</t>
  </si>
  <si>
    <t>KAVERI PETROLEUM</t>
  </si>
  <si>
    <t>RAM LAXMAN PETROLEUM KSK</t>
  </si>
  <si>
    <t>KUSUM PETROLEUM KSK</t>
  </si>
  <si>
    <t>OM PETROLEUM KSK</t>
  </si>
  <si>
    <t>KAD PETROL DEPOT</t>
  </si>
  <si>
    <t>VARIJA SERVICE STATION</t>
  </si>
  <si>
    <t>SAI SAMRAT PETROLEUM</t>
  </si>
  <si>
    <t>KRUSHNAI PETROLEUM KSK</t>
  </si>
  <si>
    <t>SRISHTI PETROLEUM KSK</t>
  </si>
  <si>
    <t>SHRI SIDDHESHWAR PETROLEUM KSK</t>
  </si>
  <si>
    <t>SHRIRAM PETROLEUM KSK</t>
  </si>
  <si>
    <t>BAVDHAN VIKAS PETROLEUM KSK</t>
  </si>
  <si>
    <t>GAJENDRA PETROLEUM</t>
  </si>
  <si>
    <t>TAWARE PETROLEUM SERVICES</t>
  </si>
  <si>
    <t>MAYURESH PETROLEUM</t>
  </si>
  <si>
    <t>DNYANADA PETROLEUM</t>
  </si>
  <si>
    <t>MAULI PETROLEUM KSK</t>
  </si>
  <si>
    <t>D S PETROLEUM KSK</t>
  </si>
  <si>
    <t>SWARAJ PETROLEUM</t>
  </si>
  <si>
    <t>SHRIRAM SAMARTH PETROLEUM</t>
  </si>
  <si>
    <t>SHITOLE PETROLEUM KSK</t>
  </si>
  <si>
    <t>NIKITA PETROLEUM</t>
  </si>
  <si>
    <t>TAMBE &amp; SONS KSK</t>
  </si>
  <si>
    <t>COCO KOKAMTHAN ( 274010 DATTAPRABHA PETROLEUM)</t>
  </si>
  <si>
    <t>VEER PETROLEUM,</t>
  </si>
  <si>
    <t>INDU PETROLEUM KSK</t>
  </si>
  <si>
    <t>DHARMNATH PETROLEUM</t>
  </si>
  <si>
    <t>OM NATH PETROL PUMP</t>
  </si>
  <si>
    <t>KRISHI UTPANNA BAZAAR SAM KSK</t>
  </si>
  <si>
    <t>SHREE SAI DATTA KISAN SEVA KEN</t>
  </si>
  <si>
    <t>COCO BALUPATLACHIWADI ADHOC BACHAL (BAGWAN PETROLEUM-275207)</t>
  </si>
  <si>
    <t>BHAMA PETROLEUM</t>
  </si>
  <si>
    <t>SHREE SRUSHTI PETROLEUM</t>
  </si>
  <si>
    <t>VENKATESHWARA PETROLEUM KSK</t>
  </si>
  <si>
    <t>COCO DEVLALI (275980 SANKHESHWAR PETROLEUM)</t>
  </si>
  <si>
    <t>UMA PETROLEUM</t>
  </si>
  <si>
    <t>YASHODA PETROLEUM</t>
  </si>
  <si>
    <t>SHRI DHANAI PETROLEUM</t>
  </si>
  <si>
    <t>SHRI SIDDHIVINAYAK PET. KSK</t>
  </si>
  <si>
    <t>SAI PUJA PETROLEUM</t>
  </si>
  <si>
    <t>ANAND PETROLEUM</t>
  </si>
  <si>
    <t>SONAI PETROLEUM SERVICES</t>
  </si>
  <si>
    <t>VISHWAS PETROLEUM KSK</t>
  </si>
  <si>
    <t>SHIVRAJ PETROLEUM</t>
  </si>
  <si>
    <t>GHOSALE PETROLEUM</t>
  </si>
  <si>
    <t>Shri Ambika Petroleum KSK</t>
  </si>
  <si>
    <t>GAYATRI PETROLEUM KSK</t>
  </si>
  <si>
    <t>SADGURU PETROLEUM</t>
  </si>
  <si>
    <t>P G PETROLEUM</t>
  </si>
  <si>
    <t>Shri Gajanan Maharaj Petroleum</t>
  </si>
  <si>
    <t>Kaka Tambe Petroleum</t>
  </si>
  <si>
    <t>SHREE SAI PETROLEUM</t>
  </si>
  <si>
    <t>S R MOTE FUEL STATION</t>
  </si>
  <si>
    <t>Sathe Petroleum</t>
  </si>
  <si>
    <t>Malhar Petrol Centre</t>
  </si>
  <si>
    <t>Shreenath Petroleum</t>
  </si>
  <si>
    <t>Yash Ganga Petroleum</t>
  </si>
  <si>
    <t>Subhodini Petroleum</t>
  </si>
  <si>
    <t>BACHAL PETROELUM</t>
  </si>
  <si>
    <t>TRIMURTI PETROLEUM</t>
  </si>
  <si>
    <t>SHIV KAILASH PETROLEUM</t>
  </si>
  <si>
    <t>RAMKUVAR PETROLEUM</t>
  </si>
  <si>
    <t>KHANDELWAL PETROLEUM</t>
  </si>
  <si>
    <t>UNDRE PATIL PETROLEUM</t>
  </si>
  <si>
    <t>SIDDHI VINAYAK PETROLEUM</t>
  </si>
  <si>
    <t>OM SAI PETROLEUM</t>
  </si>
  <si>
    <t>Dhawan Patil Kisan Seva Kendra</t>
  </si>
  <si>
    <t>H R Bhusari &amp; Sons</t>
  </si>
  <si>
    <t>Rushi Petroleum</t>
  </si>
  <si>
    <t>Waradraj Petroleum</t>
  </si>
  <si>
    <t>Khot Petroluem KSK</t>
  </si>
  <si>
    <t>Shri Shirsai Petroleum</t>
  </si>
  <si>
    <t>Shri Sai Ganesh Petroleum</t>
  </si>
  <si>
    <t>Sai Petroleum KSK</t>
  </si>
  <si>
    <t>Prasad Petroleum</t>
  </si>
  <si>
    <t>COCO VADGAON ADHOC SAMARTH PETRO (285387 ADHOC VIPUL FUEL STATION)</t>
  </si>
  <si>
    <t>Baba Petrol Pump</t>
  </si>
  <si>
    <t>Sai Ganesh Petroleum</t>
  </si>
  <si>
    <t>Pais Petroleum</t>
  </si>
  <si>
    <t>BANESHWAR PETROLEUM KSK</t>
  </si>
  <si>
    <t>GURU KRUPA PETROLEUM</t>
  </si>
  <si>
    <t>SWARA PETROLEUM</t>
  </si>
  <si>
    <t>ADITYA PETRO CORPORATION</t>
  </si>
  <si>
    <t>SIDDHIVINAYAK KISAN SEVA KENDRA</t>
  </si>
  <si>
    <t>HARIDAS PETROLEUM</t>
  </si>
  <si>
    <t>JEDHE PETROLEUM</t>
  </si>
  <si>
    <t>Suma Petroleum</t>
  </si>
  <si>
    <t>SWAMI PETROLEUM</t>
  </si>
  <si>
    <t>TEJASVI PETROLEUM KISAN SEVA KENDRA</t>
  </si>
  <si>
    <t>KADAM PETROLEUM</t>
  </si>
  <si>
    <t>JADHAV SERVICES</t>
  </si>
  <si>
    <t>SAMIR PETROLEUM</t>
  </si>
  <si>
    <t>PADMAVATI PETROLEUM</t>
  </si>
  <si>
    <t>SAI BABA PETROLEUM</t>
  </si>
  <si>
    <t>DUDHANE PETROLEUM</t>
  </si>
  <si>
    <t>JAYASHREE PETROLEUM</t>
  </si>
  <si>
    <t>Yashshri Agro Fueling KSK</t>
  </si>
  <si>
    <t>MACHHINDRANATH &amp; SONS PETROLEUM,</t>
  </si>
  <si>
    <t>Satav Petroleum</t>
  </si>
  <si>
    <t>Suhas Prasad Petroleum</t>
  </si>
  <si>
    <t>Wadkar Petroleum</t>
  </si>
  <si>
    <t>Dubash Petroleum</t>
  </si>
  <si>
    <t>SWARAJ PETROL &amp; DIESEL PUMP</t>
  </si>
  <si>
    <t>Aditi Petroleum Kisan Seva Kendra</t>
  </si>
  <si>
    <t>Regal Petroleum</t>
  </si>
  <si>
    <t>KULASWAMINI PETROLEUM KSK</t>
  </si>
  <si>
    <t>Ajinkya Petroleum KSK</t>
  </si>
  <si>
    <t>Sanskar Petroleum</t>
  </si>
  <si>
    <t>Bbalaji Petrolinks</t>
  </si>
  <si>
    <t>Gade Petroleum Kisan Seva Kendra</t>
  </si>
  <si>
    <t>Shri Kalika Petroleum</t>
  </si>
  <si>
    <t>Darshan Petroleum</t>
  </si>
  <si>
    <t>Vighnaharta Petroleum KSK</t>
  </si>
  <si>
    <t>Shree Narayan Maharaj Petroleum</t>
  </si>
  <si>
    <t>J Patil Petroleum</t>
  </si>
  <si>
    <t>Om Sai Petroleum</t>
  </si>
  <si>
    <t>Saksham Petroleum</t>
  </si>
  <si>
    <t>Anand Petrol and Diesels</t>
  </si>
  <si>
    <t>SHREE SADBHAVANA PETROLEUM</t>
  </si>
  <si>
    <t>SHIVKRUPA PETROLEUM KSK</t>
  </si>
  <si>
    <t>S K Petroleum</t>
  </si>
  <si>
    <t>Rajlaxmi Petrohub</t>
  </si>
  <si>
    <t>SARVESH PETROLEUM</t>
  </si>
  <si>
    <t xml:space="preserve"> SAARTHSHAURYA AGENCIES</t>
  </si>
  <si>
    <t>MORAYA PETROL PUMP</t>
  </si>
  <si>
    <t>Mllikarjuneshwar Petrolem</t>
  </si>
  <si>
    <t xml:space="preserve"> SHRI VRIDHESWAR SAHAKARI SAKHAR KAR</t>
  </si>
  <si>
    <t>KHAMBESHWAR PETROLEUM KSK</t>
  </si>
  <si>
    <t>Janai Petroleum</t>
  </si>
  <si>
    <t>MATOSHRI SERVICE STATION</t>
  </si>
  <si>
    <t>RAMLING PETROLEUM</t>
  </si>
  <si>
    <t>KUSUM PETROLINK</t>
  </si>
  <si>
    <t>AAI PETROLEUM</t>
  </si>
  <si>
    <t>AHER PATIL &amp; SONS</t>
  </si>
  <si>
    <t>TIRUPATI BALAJI PETROLEUM</t>
  </si>
  <si>
    <t>Maitri Petroleum</t>
  </si>
  <si>
    <t>Shri Dattakrupa Petroleum</t>
  </si>
  <si>
    <t>Vilas Petroleum</t>
  </si>
  <si>
    <t>Pawar Petroleum</t>
  </si>
  <si>
    <t>Jadhav Petro Park</t>
  </si>
  <si>
    <t>Saubhagya Petroleum</t>
  </si>
  <si>
    <t>VAIBHAV PETRO HUB</t>
  </si>
  <si>
    <t>COMMANDANT SRPF GR.V</t>
  </si>
  <si>
    <t>Dhiwar Petroleum</t>
  </si>
  <si>
    <t>MAHALAXMI PETROLINK</t>
  </si>
  <si>
    <t>SHREE YASHWANTRAY PETROLEUM</t>
  </si>
  <si>
    <t>Om Saidatta Petroleum</t>
  </si>
  <si>
    <t>MATOBA PETROLEUM</t>
  </si>
  <si>
    <t>NALANDA PETROLEUM KSK</t>
  </si>
  <si>
    <t>COCO Velhe</t>
  </si>
  <si>
    <t>KG Petroleum</t>
  </si>
  <si>
    <t>Jotirling Petroleum</t>
  </si>
  <si>
    <t>Laxmi Energy &amp; Fuels</t>
  </si>
  <si>
    <t>GAURAV PETROLEUMS</t>
  </si>
  <si>
    <t>COMMANDANT SRPF GR.VII</t>
  </si>
  <si>
    <t>Shree Nilkantheshwar Petroleum</t>
  </si>
  <si>
    <t>Suryawanshi Petroleum</t>
  </si>
  <si>
    <t>G J Petroleum</t>
  </si>
  <si>
    <t>Abhishek Petroleum</t>
  </si>
  <si>
    <t>B G Petroleum</t>
  </si>
  <si>
    <t>Magar Petroleum</t>
  </si>
  <si>
    <t>RAMKRUSHNA PETROLEUM</t>
  </si>
  <si>
    <t>MILESTONE FUEL STATION</t>
  </si>
  <si>
    <t>GOKUL PETROLEUM</t>
  </si>
  <si>
    <t>SHRI VYANKANATH PETROLEUM KSK</t>
  </si>
  <si>
    <t>SHREE GANESHA PETROLEUM</t>
  </si>
  <si>
    <t>SHRI KRISHNA PETROLEUM</t>
  </si>
  <si>
    <t>NAVJEET PETROLEUM</t>
  </si>
  <si>
    <t>SHASHIDHAN PETROLEUM</t>
  </si>
  <si>
    <t>SIDDHI N SIDDHARTH PETROLEUM</t>
  </si>
  <si>
    <t>LOKHANDE PATIL PETROLEUM</t>
  </si>
  <si>
    <t>TRISHUL SERVICE STATION PVT LTD</t>
  </si>
  <si>
    <t>SHRI GANESH PETRO HUB</t>
  </si>
  <si>
    <t>SHRI SHIVSAI FUEL STATION</t>
  </si>
  <si>
    <t>DNYANSAGAR PETROLEUM</t>
  </si>
  <si>
    <t>SAI SINDHU PETROLEUM</t>
  </si>
  <si>
    <t>AGRICULTURAL PRODUCE MKT COMMITTEE</t>
  </si>
  <si>
    <t>MAULI KRUPA PETROLEUM</t>
  </si>
  <si>
    <t>M/S SAI PETROLEUM STATION</t>
  </si>
  <si>
    <t>DNYANRAJ ENTERPRISES</t>
  </si>
  <si>
    <t>GHANSHYAM PETROLEUM</t>
  </si>
  <si>
    <t>SOMNATH PETROLEUM</t>
  </si>
  <si>
    <t>JOPAIDEVI PETROLEUM</t>
  </si>
  <si>
    <t>GHANVAT PETROLEUM</t>
  </si>
  <si>
    <t>GS PETROLEUM</t>
  </si>
  <si>
    <t>SWATI PETROLEUM</t>
  </si>
  <si>
    <t>SHRI BALAJI PETROLEUM KSK</t>
  </si>
  <si>
    <t>SARVESH PETRO HUB</t>
  </si>
  <si>
    <t>SAIRAJ PETRO HUB</t>
  </si>
  <si>
    <t>SUDEEP PETROLEUM</t>
  </si>
  <si>
    <t>UDAY FUEL SERVICES</t>
  </si>
  <si>
    <t>SHIVANSH PETROLEUM</t>
  </si>
  <si>
    <t>VARAD PETROLEUM</t>
  </si>
  <si>
    <t>SHIV SRUSHTHI PETROLEUM</t>
  </si>
  <si>
    <t>BHAGAT PETROLEUM</t>
  </si>
  <si>
    <t>SANGAMNER SHETKI SAHAKARI SANGH LTD</t>
  </si>
  <si>
    <t>MATOSHRI PETROLEUM</t>
  </si>
  <si>
    <t>DADASAHEB GANESH DALAVI PETROLEUM</t>
  </si>
  <si>
    <t>SHIV PETROLEUM KSK</t>
  </si>
  <si>
    <t>YASHODAMATA PETROLEUM</t>
  </si>
  <si>
    <t>SHREE JAGDAMBA PETROLEUM</t>
  </si>
  <si>
    <t>DATTA PETROLEUM</t>
  </si>
  <si>
    <t>VIMAL FUEL STATION</t>
  </si>
  <si>
    <t>ASHOK PETROLEUM</t>
  </si>
  <si>
    <t>SHIVAM PETROLEUM</t>
  </si>
  <si>
    <t>TISGAON FUEL PLAZA</t>
  </si>
  <si>
    <t>MADHU MANJU FUEL POINT</t>
  </si>
  <si>
    <t>BHIMASHANKAR SERVICE STATION</t>
  </si>
  <si>
    <t>JAY MALHAR PETROLEUM</t>
  </si>
  <si>
    <t>P. D. PETROLEUM</t>
  </si>
  <si>
    <t>SHRI BHAIRAVNATH PETROLEUM</t>
  </si>
  <si>
    <t>RASKAR PETROLEUM</t>
  </si>
  <si>
    <t>PATIL PETROLEUM</t>
  </si>
  <si>
    <t>SHRI PANDURANG PETROLEUM</t>
  </si>
  <si>
    <t>SHREERAM PETROLEUM</t>
  </si>
  <si>
    <t>SHRI SHRI PETROLEUM</t>
  </si>
  <si>
    <t>SHRI GURUDATTA KSK</t>
  </si>
  <si>
    <t>BHAGWAN PETROLEUM</t>
  </si>
  <si>
    <t>PRAVARA PHALE BHAJIPALA UTPADAK PKV</t>
  </si>
  <si>
    <t>AKSHAY PETROLEUM</t>
  </si>
  <si>
    <t>TRIRATNA PETROLEUM</t>
  </si>
  <si>
    <t>JAI VIJAY PETROLEUM</t>
  </si>
  <si>
    <t>SHIVSAMARTH PETROLEUM</t>
  </si>
  <si>
    <t>P AND D N PETROLEUM</t>
  </si>
  <si>
    <t>SADGURU KRUPA PETROLEUM</t>
  </si>
  <si>
    <t>JAYRAJ PETROLEUM</t>
  </si>
  <si>
    <t>JAGDAMBA KISAN SEVA KENDRA</t>
  </si>
  <si>
    <t>HANGESHWAR PETROLEUM</t>
  </si>
  <si>
    <t>S.P.PATIL PETROLEUM</t>
  </si>
  <si>
    <t>COCO RATHARE Adhoc Shree Lakshmi Petroleum (SHUBHRA PETROLEUM-344181)</t>
  </si>
  <si>
    <t>SHRI SAI ENERGY PETROLEUM</t>
  </si>
  <si>
    <t>SANSKRUTI PETROLEUM</t>
  </si>
  <si>
    <t>ALESHWAR PETROLEUM</t>
  </si>
  <si>
    <t>M B PETROLEUM</t>
  </si>
  <si>
    <t>MAN DESHI PETROLEUM</t>
  </si>
  <si>
    <t>JYOTTIBBA PETROLEUM</t>
  </si>
  <si>
    <t>TAMHANE PETROLEUM</t>
  </si>
  <si>
    <t>SHRI BHOJLING PETROLEUM</t>
  </si>
  <si>
    <t>SHREENATH PETROLEUM SERVICE</t>
  </si>
  <si>
    <t>RAJPURE PETROLEUM</t>
  </si>
  <si>
    <t>AABASHRI KISAN SEVA KENDRA</t>
  </si>
  <si>
    <t>OMKAR PETROLEUM</t>
  </si>
  <si>
    <t>SAINATH ENTERPRISE</t>
  </si>
  <si>
    <t>SHRI NAGESHWAR PETROLEUM</t>
  </si>
  <si>
    <t>MALHAR ENERGY</t>
  </si>
  <si>
    <t>SHIVSAMARTH PETROCHEM</t>
  </si>
  <si>
    <t>COCO Astagaon Om Gurudev Petro (346004)</t>
  </si>
  <si>
    <t>SSK PETROLEUM</t>
  </si>
  <si>
    <t>ATOLE PETROLEUM</t>
  </si>
  <si>
    <t>MAHIPATI MAHARAJ GP PETROLEUM</t>
  </si>
  <si>
    <t>DATTA KAKA SANE PETROLEUM</t>
  </si>
  <si>
    <t>S. H. DUBAL PETROLEUM</t>
  </si>
  <si>
    <t>JYOTIRLING KISAN SEWA KENDRA</t>
  </si>
  <si>
    <t>SHIVANKEET PETROLEUM</t>
  </si>
  <si>
    <t>SAIDEEP PETROLEUM</t>
  </si>
  <si>
    <t>SHREE MAULI PETROLEUM</t>
  </si>
  <si>
    <t>DARSHAN PETROLEUM &amp; TRANSPORT SERVI</t>
  </si>
  <si>
    <t>ABHISHEK PETROLEUM</t>
  </si>
  <si>
    <t>PARVATI PETROLEUM</t>
  </si>
  <si>
    <t>SALUNKE PETROLEUM</t>
  </si>
  <si>
    <t>PESHAVE PETROLEUM</t>
  </si>
  <si>
    <t>SHAHID PRADIP SARODE PETROLEUM</t>
  </si>
  <si>
    <t>SUKHWANI PETROTECH</t>
  </si>
  <si>
    <t>JAI HIND PETROLEUM</t>
  </si>
  <si>
    <t>MAHALAXMI PETROLEUM</t>
  </si>
  <si>
    <t>AKSHAY PETRO SALES</t>
  </si>
  <si>
    <t>FAJAL PETROLEUM</t>
  </si>
  <si>
    <t>JAI BHAGWAN PETROLEUM</t>
  </si>
  <si>
    <t>MAHALAXMI FUEL STATION</t>
  </si>
  <si>
    <t>SAHYADRI PETROLEUM</t>
  </si>
  <si>
    <t>BAHIRAT PATIL PETROLEUM</t>
  </si>
  <si>
    <t>GANGOTRI PETROLEUM</t>
  </si>
  <si>
    <t>Kadam Patil Petro Service</t>
  </si>
  <si>
    <t>COCO SHRIGONDA (352674 ADHOC AABASHRI KISAN 378277)</t>
  </si>
  <si>
    <t>SHREE LAKSHMI PETROLEUM</t>
  </si>
  <si>
    <t>VAIBHAVI FUEL STATION</t>
  </si>
  <si>
    <t>M N MHASKE PATIL PETROLEUM</t>
  </si>
  <si>
    <t>S.V.M. PETROLEUM</t>
  </si>
  <si>
    <t>K.M.S.K ENERGY AND AUTO SERVICE STA</t>
  </si>
  <si>
    <t>MAHADEV PETROLEUM</t>
  </si>
  <si>
    <t>SHREE MAHALAXMI PETROLEUM</t>
  </si>
  <si>
    <t>SHREE TUKARAM PETROLEUM</t>
  </si>
  <si>
    <t>SHRI GANESH FILLING STATION</t>
  </si>
  <si>
    <t>SVS PETROLEUM</t>
  </si>
  <si>
    <t>STAR PETROLEUM</t>
  </si>
  <si>
    <t>SAI VEER BHADRA PETROLEUM</t>
  </si>
  <si>
    <t>COCO Shevgoan (Adhoc Kalika Agency 372060 (Old Code 354938))</t>
  </si>
  <si>
    <t>POLESTAR FUEL STATION</t>
  </si>
  <si>
    <t>LOYAL PETROL PUMP</t>
  </si>
  <si>
    <t>MADHAV PETROLEUM</t>
  </si>
  <si>
    <t>WAGHESHWARA PETROHUB</t>
  </si>
  <si>
    <t>SWARAJ PETROLINK</t>
  </si>
  <si>
    <t>COCO YERWADA (355769 YADAV SERVICE STATION - ADHOC PANNA MOTI)</t>
  </si>
  <si>
    <t>BALAMBIKA PETROL STATION</t>
  </si>
  <si>
    <t>SHREE MANIK PETROLEUM</t>
  </si>
  <si>
    <t>SHRIRAM PETROL PUMP</t>
  </si>
  <si>
    <t>SARTHAK PETROL PUMP</t>
  </si>
  <si>
    <t>VIJAYRAJ PETROLEUM</t>
  </si>
  <si>
    <t>TANISHQA PETROLEUM</t>
  </si>
  <si>
    <t>SMK PETROLEUM (B.K.PETROLEUM (359707 Adhoc- Sai Petro Hub))</t>
  </si>
  <si>
    <t>SANAS PETROLEUM</t>
  </si>
  <si>
    <t>S S PETROLEUM</t>
  </si>
  <si>
    <t>COCO ASALE (ADHOC SHIVSAMARTH 374491 (361912 ADHOC RENUKA PETROL &amp; DIESEL))</t>
  </si>
  <si>
    <t>SRI BALASAHEB GADILKAR PETROLEUM</t>
  </si>
  <si>
    <t>TRIMURTI PETROL PUMP</t>
  </si>
  <si>
    <t>Shivratna Agency</t>
  </si>
  <si>
    <t>COCO CHASNALI ADHOC TIRUPATI BALAJI (D.S.BHOSALE &amp; CO- 363324)</t>
  </si>
  <si>
    <t>COCO WRD ADHOC 3S SERVICE STATION (363370 ADHOC SHRI KRISHNA PETROLEUM)</t>
  </si>
  <si>
    <t>C. R. GODSE PETROLEUM</t>
  </si>
  <si>
    <t>COCO RANJANGAON (364204 ADHOC - RUSHI PETRO)</t>
  </si>
  <si>
    <t>NEW AUTO CORNER-PUNE</t>
  </si>
  <si>
    <t>BAFNA BROTHERS (HSD)</t>
  </si>
  <si>
    <t>KAJALE &amp; SONS (HSD)</t>
  </si>
  <si>
    <t>HIGHWAY ENERGY JUNCTION</t>
  </si>
  <si>
    <t>SHRI YASHWANT PETROLEUM</t>
  </si>
  <si>
    <t>RAJHANS PETROLEUM</t>
  </si>
  <si>
    <t>SHIVRATNA PETROL PUMP</t>
  </si>
  <si>
    <t>D K PETROLEUM</t>
  </si>
  <si>
    <t>SURYA PETROLEUM</t>
  </si>
  <si>
    <t>SAI AGENCY</t>
  </si>
  <si>
    <t>JAGTAP PETROLEUM</t>
  </si>
  <si>
    <t>K K PETROLEUM</t>
  </si>
  <si>
    <t>PAWAR AND SITAI FUEL</t>
  </si>
  <si>
    <t>JAIHIND FUELS</t>
  </si>
  <si>
    <t>MAPS PETROLEUM</t>
  </si>
  <si>
    <t>GP PETROLEUM</t>
  </si>
  <si>
    <t>SHARAYU AGRO INDUSTRIES LTD.</t>
  </si>
  <si>
    <t>SHIVTEJ PETROL PUMP</t>
  </si>
  <si>
    <t>AJINKYA POOJA PETROLEUM</t>
  </si>
  <si>
    <t>JEEVAN PETROLEUM</t>
  </si>
  <si>
    <t>ASHTAVINAYAK PETROLEUM</t>
  </si>
  <si>
    <t>JAY PETROLEUM</t>
  </si>
  <si>
    <t>AARYAN FUEL CORPORATION</t>
  </si>
  <si>
    <t>OM SAI KRUSHNA PETROLEUM</t>
  </si>
  <si>
    <t>NEW JOLLY PETROLEUM</t>
  </si>
  <si>
    <t>SUBHEDAR PETROLEUM</t>
  </si>
  <si>
    <t>SHIV PARVATI PETROLEUM</t>
  </si>
  <si>
    <t>SHIV GOURANNSH PETROLEUM</t>
  </si>
  <si>
    <t>YASHRAJ PETROLEUM</t>
  </si>
  <si>
    <t>NATHKRUPA PETROLEUM</t>
  </si>
  <si>
    <t>Mamta Petroleum</t>
  </si>
  <si>
    <t>Jay Shankar Petroleum</t>
  </si>
  <si>
    <t>Mauli Fuel Station</t>
  </si>
  <si>
    <t>Ambika Petroleum</t>
  </si>
  <si>
    <t>S B Petroleum</t>
  </si>
  <si>
    <t>Makhamale Petroleum</t>
  </si>
  <si>
    <t>RADHA KRISHNA SERVICE CENTRE</t>
  </si>
  <si>
    <t>KSHIRSAGAR PETROLEUM</t>
  </si>
  <si>
    <t>SHREE JAY MALHAR PETROLEUM</t>
  </si>
  <si>
    <t>BRAMHACHAITANYA PETROLEUM</t>
  </si>
  <si>
    <t>BALAJI PETROL PUMP</t>
  </si>
  <si>
    <t>GAVALI PETROLEUM</t>
  </si>
  <si>
    <t>DNYANESHWARI PETROLEUM</t>
  </si>
  <si>
    <t>Shantai Petroleum</t>
  </si>
  <si>
    <t>BORUDE PETROLEUM</t>
  </si>
  <si>
    <t>GURU PETROLEUM,</t>
  </si>
  <si>
    <t>YASHWANT PETROLEUM</t>
  </si>
  <si>
    <t>JAGDAMB PETROLEUM</t>
  </si>
  <si>
    <t>SHREE SHARADA PETROLEUM</t>
  </si>
  <si>
    <t>Karle Gajraj Petroleum</t>
  </si>
  <si>
    <t>SHIV SHAMBHU PETROLEUM KSK</t>
  </si>
  <si>
    <t>RADHIKA PETROLEUM</t>
  </si>
  <si>
    <t>BHIMA SHANKAR ENERGY SERVICES</t>
  </si>
  <si>
    <t>KAVERI FUEL STATION</t>
  </si>
  <si>
    <t>Shri Kshetra Bhimashankar Petroleum</t>
  </si>
  <si>
    <t>SWAMIDNYA PETROLEUM</t>
  </si>
  <si>
    <t>SAJAI PETROLEUM</t>
  </si>
  <si>
    <t>TIRUPATI PETROLEUM</t>
  </si>
  <si>
    <t>AVIRA PETROLEUM</t>
  </si>
  <si>
    <t>RB PETROCHEM</t>
  </si>
  <si>
    <t>POONAM PETROLEUM</t>
  </si>
  <si>
    <t>FALCON PETROLEUM</t>
  </si>
  <si>
    <t>Shivmudra Petroleum</t>
  </si>
  <si>
    <t>Kanifnath Petroleum</t>
  </si>
  <si>
    <t>SHYAM PETROLEUM</t>
  </si>
  <si>
    <t>Gurudatta Petroleum</t>
  </si>
  <si>
    <t>Sai Veenit Petroleum</t>
  </si>
  <si>
    <t>S N Borate Petroleum</t>
  </si>
  <si>
    <t>BHAIRAVNATH PETROLEUM</t>
  </si>
  <si>
    <t>GANGAGIRI PETROLEUM</t>
  </si>
  <si>
    <t>Mauli Petroleum</t>
  </si>
  <si>
    <t>Ahilya Petroleum</t>
  </si>
  <si>
    <t>KRISHNA PETROLEUM AND ENERGY HUB</t>
  </si>
  <si>
    <t>MS June 26</t>
  </si>
  <si>
    <t>MS June 25</t>
  </si>
  <si>
    <t>HSD June 26</t>
  </si>
  <si>
    <t>Ship-To Party</t>
  </si>
  <si>
    <t>Sales district</t>
  </si>
  <si>
    <t>Sales Group</t>
  </si>
  <si>
    <t>Inv. Qty</t>
  </si>
  <si>
    <t>125725     NATIONAL PETROLEUM</t>
  </si>
  <si>
    <t>MH022  PUNE</t>
  </si>
  <si>
    <t>M41 Pune Saswad RSA</t>
  </si>
  <si>
    <t>KL</t>
  </si>
  <si>
    <t>125834     SHREE SAI KRUPA SERVICES</t>
  </si>
  <si>
    <t>M06 Pune City  RSA</t>
  </si>
  <si>
    <t>125893     ANIL AUTOMOBILES</t>
  </si>
  <si>
    <t>MA7 Pune Tathawade RSA</t>
  </si>
  <si>
    <t>126060     D.S.BHOSALE &amp; CO</t>
  </si>
  <si>
    <t>MH001  AHMADNAGAR</t>
  </si>
  <si>
    <t>M32 Shirdi RSA</t>
  </si>
  <si>
    <t>126064     KOTHARI AUTOMOBILES</t>
  </si>
  <si>
    <t>M92 Ahmednagar West  RSA</t>
  </si>
  <si>
    <t>126068     MUSMADE &amp; SONS.</t>
  </si>
  <si>
    <t>126071     SANJIVANI SSK LTD.</t>
  </si>
  <si>
    <t>126072     SANGAMNER S.S SANGH LTD</t>
  </si>
  <si>
    <t>126073     SHRI SAI SERVICE CENTRE</t>
  </si>
  <si>
    <t>126074     SARDA BROTHERS</t>
  </si>
  <si>
    <t>126078     A.B.PETROLEUM</t>
  </si>
  <si>
    <t>M33 Ahmednagar East RSA</t>
  </si>
  <si>
    <t>126081     BELAPUR BK V.K.SAH.SEVA S.MARY</t>
  </si>
  <si>
    <t>126085     C.B.GHOGRE &amp; CO</t>
  </si>
  <si>
    <t>126087     DAULAT SERVICE STATION</t>
  </si>
  <si>
    <t>126091     FRIENDS SERVICE STATION</t>
  </si>
  <si>
    <t>126097     LAXMI SERVICE STATION</t>
  </si>
  <si>
    <t>126098     SONA ENTERPRISES</t>
  </si>
  <si>
    <t>126099     MANAV HIGHWAY SERVICES</t>
  </si>
  <si>
    <t>126108     SHIVPRASAD SERVICE STATION</t>
  </si>
  <si>
    <t>126113     TRIMURTI AUTOMOBILES</t>
  </si>
  <si>
    <t>126133     KOYNA SAH DUDH UTP</t>
  </si>
  <si>
    <t>MH026  SATARA</t>
  </si>
  <si>
    <t>M69 Satara West RSA</t>
  </si>
  <si>
    <t>126136     KARAD TAL.K.V.S.LTD</t>
  </si>
  <si>
    <t>126149     PATAN TAL.S.K.V.SANGH LTD.</t>
  </si>
  <si>
    <t>126161     SHRINATH PETROLEUM</t>
  </si>
  <si>
    <t>M45 Satara East RSA</t>
  </si>
  <si>
    <t>126187     SHIVRAJ SERVICE STN.</t>
  </si>
  <si>
    <t>126293     AUTO ENTERPRISES</t>
  </si>
  <si>
    <t>M93 Pune Hadapsar RSA</t>
  </si>
  <si>
    <t>126295     ANAND SERVICE STATION</t>
  </si>
  <si>
    <t>126297     BHARAT SERVICE CENTRE</t>
  </si>
  <si>
    <t>126301     CHHATRAPATI S.S.K.LTD</t>
  </si>
  <si>
    <t>126303     CHAITANYA AUTOMOBILES</t>
  </si>
  <si>
    <t>M67 Pune Wagholi RSA</t>
  </si>
  <si>
    <t>126305     D MELLO SERVICE STATION</t>
  </si>
  <si>
    <t>126308     GHULE SERVICE STATION</t>
  </si>
  <si>
    <t>126310     HINDUSTAN SERVICE STATION</t>
  </si>
  <si>
    <t>126311     J C SHAH</t>
  </si>
  <si>
    <t>126314     Kale Service Station.</t>
  </si>
  <si>
    <t>126322     MODERN AUTOMOBILES-CHINCHAWAD</t>
  </si>
  <si>
    <t>M40 Pimpri Chinchwad RSA</t>
  </si>
  <si>
    <t>126325     NANDKUMAR &amp; CO.</t>
  </si>
  <si>
    <t>126326     N G PAWAR OIL &amp; TR CO.</t>
  </si>
  <si>
    <t>126328     KRISHI UTPANNA BAZAR SAMITI</t>
  </si>
  <si>
    <t>126329     PRATHAMESH PETROLEUM SERVICE</t>
  </si>
  <si>
    <t>126332     PRITAM PETROLEUM</t>
  </si>
  <si>
    <t>126335     PATIL &amp; SONS</t>
  </si>
  <si>
    <t>126336     SHRI MAHALAXMI FUEL STATION</t>
  </si>
  <si>
    <t>126337     PUNJAB AUTO SERVICES</t>
  </si>
  <si>
    <t>126338     POONAM AUTOMOBILES</t>
  </si>
  <si>
    <t>126339     RAMESHWAR PETROL CENTRE</t>
  </si>
  <si>
    <t>126340     RENUKA PETROL &amp; DIESEL PUMP</t>
  </si>
  <si>
    <t>126345     SHRIRAM S.S.K. LTD</t>
  </si>
  <si>
    <t>126347     SURE PETROLEUM</t>
  </si>
  <si>
    <t>126350     SHRI ASHTAVINAYAK AUTOMOBILES</t>
  </si>
  <si>
    <t>126353     SAVANI SERVICE STATION</t>
  </si>
  <si>
    <t>126354     S.M. BHANDARI</t>
  </si>
  <si>
    <t>126355     SCOOTER SERVICE STATION</t>
  </si>
  <si>
    <t>126357     KRISHI SEVA SERVICES</t>
  </si>
  <si>
    <t>126358     SURENDRA AUTOMOBILES</t>
  </si>
  <si>
    <t>126359     SHREE SEVA</t>
  </si>
  <si>
    <t>126361     SHROFF PETROLEUM</t>
  </si>
  <si>
    <t>126362     SHAH &amp; CO.</t>
  </si>
  <si>
    <t>126365     SHIV PRIYANKA PETROLEUM</t>
  </si>
  <si>
    <t>126366     SHRIRAM PETROLEUM</t>
  </si>
  <si>
    <t>126368     UNITY OIL &amp; TR SERVICES</t>
  </si>
  <si>
    <t>126369     UTTAM AGENCIES</t>
  </si>
  <si>
    <t>126370     VAIBHAV SERVICE CENTER</t>
  </si>
  <si>
    <t>126372     VIKRAM AUTOMOBILES</t>
  </si>
  <si>
    <t>126373     YADAV SERVICE STATION-LOHEGAON</t>
  </si>
  <si>
    <t>126375     RADHE KRISHNA SERVICE CENTER</t>
  </si>
  <si>
    <t>126379     BEGAWALA FILLING STATION.</t>
  </si>
  <si>
    <t>126402     POONAM PETROLEUM CO. IOC DEALER</t>
  </si>
  <si>
    <t>132007     NEW AUTO CORNER-</t>
  </si>
  <si>
    <t>133329     BADIYANI BROTHERS-KARAD</t>
  </si>
  <si>
    <t>133393     NAMRATA SERVICE CENTRE</t>
  </si>
  <si>
    <t>133421     SUBHASH SERVICE STATION</t>
  </si>
  <si>
    <t>135442     GANGA AUTO SERVICES-HADAPSAR</t>
  </si>
  <si>
    <t>135609     DEHU SERVICE STATION</t>
  </si>
  <si>
    <t>135645     SHRI SWAMI SAMARTH AUTO</t>
  </si>
  <si>
    <t>135649     BHAGAT BROTHERS PETROLEUM</t>
  </si>
  <si>
    <t>135698     PREMCHAND RATANCHAND &amp; CO</t>
  </si>
  <si>
    <t>141722     SAMARTH PETROL PUMP-TALEGAON</t>
  </si>
  <si>
    <t>141790     SHRI SAI SHIVRAJ PETROLEUM</t>
  </si>
  <si>
    <t>153499     SEWA AUTO CENTRE</t>
  </si>
  <si>
    <t>162500     Ganesh Service Station</t>
  </si>
  <si>
    <t>162505     Surya Petroleum</t>
  </si>
  <si>
    <t>162507     Shri Balaji Petroleum</t>
  </si>
  <si>
    <t>162508     Sanjay Petroleum</t>
  </si>
  <si>
    <t>162509     Om Matoshri Petroleum</t>
  </si>
  <si>
    <t>162510     3S Service Station</t>
  </si>
  <si>
    <t>162511     Om Gurudev Petroleum</t>
  </si>
  <si>
    <t>162513     BHARNE PETROLEUM</t>
  </si>
  <si>
    <t>162515     Taware Petroleum</t>
  </si>
  <si>
    <t>164764     Green Park Petrol Pump</t>
  </si>
  <si>
    <t>164767     Pathik Fuels</t>
  </si>
  <si>
    <t>164772     A.M. K. Enterprises</t>
  </si>
  <si>
    <t>174541     JAY GANESH PETROLEUM</t>
  </si>
  <si>
    <t>174542     Jagdale Petroleum</t>
  </si>
  <si>
    <t>174550     Shubham Automobiles</t>
  </si>
  <si>
    <t>176113     ARMED FORCES EX OFFICERS CO-O</t>
  </si>
  <si>
    <t>176189     MADHUPRAYAG SALES &amp; SERVI</t>
  </si>
  <si>
    <t>176684     PATAN TAL. SKVS -MHAVSHI</t>
  </si>
  <si>
    <t>180555     BHOSALE SALES &amp; SERVICE</t>
  </si>
  <si>
    <t>180566     PRANAV SERVICE STATION</t>
  </si>
  <si>
    <t>181638     SUKHWANI PETROLEUM</t>
  </si>
  <si>
    <t>184284     TRINETRA PETROLEUM</t>
  </si>
  <si>
    <t>185653     SHRINIDHI PETROLEUM</t>
  </si>
  <si>
    <t>192171     JADHAV PETROLEUM</t>
  </si>
  <si>
    <t>192206     ADITYA PETROLEUM</t>
  </si>
  <si>
    <t>192208     DWARKADHISH PETROLEUM</t>
  </si>
  <si>
    <t>192214     KUNJAN SERVICE CENTRE</t>
  </si>
  <si>
    <t>192215     NISHNAI DEVI MSGSM</t>
  </si>
  <si>
    <t>192251     KOPARGAON VIVIDH SAHAKARI SOCIETY</t>
  </si>
  <si>
    <t>192252     RAJPUT AUTO</t>
  </si>
  <si>
    <t>192254     SHAKTI AUTO CENTRE</t>
  </si>
  <si>
    <t>192255     YASH PETROLEUM</t>
  </si>
  <si>
    <t>192256     ABC INDIA LTD</t>
  </si>
  <si>
    <t>192257     ALFA AUTOS</t>
  </si>
  <si>
    <t>192260     JYOTI PETROLEUM</t>
  </si>
  <si>
    <t>192263     MAHADEVI PETROL DEPOT</t>
  </si>
  <si>
    <t>192265     PIMPLE PETROLEUM</t>
  </si>
  <si>
    <t>192267     SAI SAMARTHA PETROLEUM</t>
  </si>
  <si>
    <t>192268     SAI PETRO HUB</t>
  </si>
  <si>
    <t>192269     SHRI BALAJI PETROLEUM</t>
  </si>
  <si>
    <t>192271     ATHARVA PETROLEUM</t>
  </si>
  <si>
    <t>192273     GURUDEODATTA  PETROLEUM</t>
  </si>
  <si>
    <t>192656     KARAD TALUKA KVS LTD. MARKET Y</t>
  </si>
  <si>
    <t>192876     UNIQUE PETROLEUM</t>
  </si>
  <si>
    <t>192877     MORYA PETROLEUM</t>
  </si>
  <si>
    <t>193203     YOGESH SERVICE STATION</t>
  </si>
  <si>
    <t>193205     MALHAR PETROLUM</t>
  </si>
  <si>
    <t>194146     SHAHID LT.COL.PRAKASH PATIL PET</t>
  </si>
  <si>
    <t>194558     AKSHAYKIRAN PETROLEUM</t>
  </si>
  <si>
    <t>194979     SHRI SEVAGIRI PETROLEUM</t>
  </si>
  <si>
    <t>195390     SAI PETRO STATION</t>
  </si>
  <si>
    <t>195653     MORE PETROLEUM</t>
  </si>
  <si>
    <t>196164     SHIVRATNA PETROLEUM</t>
  </si>
  <si>
    <t>196197     BHAGYODAYA PETROLEUM</t>
  </si>
  <si>
    <t>197572     THE MALEGAON SSK PETROLEUM LTD</t>
  </si>
  <si>
    <t>197645     BARAMATI TALUKA SAH. DUDH UTP.S.MRY</t>
  </si>
  <si>
    <t>197680     LOKNETE MARUTRAO GHULE PATIL DNYANE</t>
  </si>
  <si>
    <t>198477     SOHAM PETROLEUM</t>
  </si>
  <si>
    <t>198744     VARAD PETROLEUM KISAN SEVA KENDRA</t>
  </si>
  <si>
    <t>202488     LOKSEVA PETROLEUM</t>
  </si>
  <si>
    <t>202494     GAJANAN KRIPA PETROLEUM</t>
  </si>
  <si>
    <t>203201     SAI SAHARA PETROLEUM</t>
  </si>
  <si>
    <t>203450     DWARKA &amp; SONS AUTO SERVICE</t>
  </si>
  <si>
    <t>204098     ASHWAMEDH KISAN SEVA KENDRA</t>
  </si>
  <si>
    <t>205829     PANCHARATNA PETROLEUM</t>
  </si>
  <si>
    <t>205938     PRABHATRANG PETROLEUM</t>
  </si>
  <si>
    <t>206324     RAJ PETROLEUM</t>
  </si>
  <si>
    <t>208043     DNYAN-GANGA PETROLEUM</t>
  </si>
  <si>
    <t>208063     INDRAYANI PETRO SALES</t>
  </si>
  <si>
    <t>208242     HON. MLA SHRI RADHAKRISHNA</t>
  </si>
  <si>
    <t>208865     BHEGADE SERVICE STATION</t>
  </si>
  <si>
    <t>208883     KALBHOR PETROLEUM</t>
  </si>
  <si>
    <t>208886     SUMEGH PETROLEUM</t>
  </si>
  <si>
    <t>209709     OM SHIVAM PETROLEUM SERVICES</t>
  </si>
  <si>
    <t>209798     YASH ABHIJEET PETROLEUM SERVICE</t>
  </si>
  <si>
    <t>210727     SHRI KANHOBA KISAN SEVA KENDRA</t>
  </si>
  <si>
    <t>211804     CHANDRABHAGA SERVICE STATION</t>
  </si>
  <si>
    <t>211844     RAGHUVIMAL PETROLEUM</t>
  </si>
  <si>
    <t>212785     JAYESH PETRO SERVICES</t>
  </si>
  <si>
    <t>213863     S S AUTO SERVICES</t>
  </si>
  <si>
    <t>214557     SARASWATI SERVICE STATION</t>
  </si>
  <si>
    <t>215051     IMPERIAL PETROLEUM</t>
  </si>
  <si>
    <t>215984     AWALE PETROLEUM</t>
  </si>
  <si>
    <t>216281     SIDDHI FUELS</t>
  </si>
  <si>
    <t>216783     KARAD TALUKA KHAREDI VIKRI S L</t>
  </si>
  <si>
    <t>216792     PATEL PETROLEUMS.</t>
  </si>
  <si>
    <t>218041     BHAVANIDEVI PETROLEUM KSK</t>
  </si>
  <si>
    <t>221803     Viva &amp; Sons Petroleum</t>
  </si>
  <si>
    <t>222319     Shree Sairaj Petroleum</t>
  </si>
  <si>
    <t>222515     BHONGLE PETROLEUM</t>
  </si>
  <si>
    <t>222614     Vishwas Kisan Seva Kendra</t>
  </si>
  <si>
    <t>223995     GURUJI PETROLEUM</t>
  </si>
  <si>
    <t>224590     MAHADEV PETROLEUM KSK</t>
  </si>
  <si>
    <t>224595     SHREE SAI ANAND PETROLEUM</t>
  </si>
  <si>
    <t>225490     TANISHQ PETROLEUM KSK</t>
  </si>
  <si>
    <t>225492     A.P.M.C. KISAN SEVA KENDRA</t>
  </si>
  <si>
    <t>226104     YOGIRAJ PETROLEUM KSK</t>
  </si>
  <si>
    <t>226334     SHRI RADHAKRISHNA VIKHE PATIL</t>
  </si>
  <si>
    <t>226485     Shri Mulik Petroleum</t>
  </si>
  <si>
    <t>226494     SAI DWARAKA PETROLEUM</t>
  </si>
  <si>
    <t>227265     AMRUTTARA KISAN SEVA KENDRA</t>
  </si>
  <si>
    <t>227915     PREETAM SERVICE STATION</t>
  </si>
  <si>
    <t>229160     SHAHID AMBADAS PAWAR SERVICE</t>
  </si>
  <si>
    <t>231151     KAMAL SAMPATTI PETROLEUM</t>
  </si>
  <si>
    <t>233737     WANKHEDE PETRO SERVICES</t>
  </si>
  <si>
    <t>234891     SARHAAN PETROLEUM</t>
  </si>
  <si>
    <t>234970     PHADTARE KRUSHI SEVA KENDRA</t>
  </si>
  <si>
    <t>241522     SIMRATMAL KUNDANMAL &amp; SONS</t>
  </si>
  <si>
    <t>242000     DHAMALE PETROLEUM KISAN SEVA K</t>
  </si>
  <si>
    <t>243557     SHRI MANGALMURTI KISAN SEVA KE</t>
  </si>
  <si>
    <t>244722     VIPUL FUEL STATION</t>
  </si>
  <si>
    <t>244733     VYANKATESH PETROLEUM</t>
  </si>
  <si>
    <t>246627     SMK PETROLEUM</t>
  </si>
  <si>
    <t>247371     JAI MALHAR KISAN SEVA KENDRA</t>
  </si>
  <si>
    <t>247504     SHRI GANESH SEVA KENDRA</t>
  </si>
  <si>
    <t>248455     KRUSHNA PETROLEUM</t>
  </si>
  <si>
    <t>251092     MAHESH HIGHWAY SERVICES</t>
  </si>
  <si>
    <t>253797     SAI PETRO LINKS</t>
  </si>
  <si>
    <t>255618     SHRI DUTT INDIA PRIVATE LIMITED</t>
  </si>
  <si>
    <t>255667     KHARDE PATIL &amp; SONS</t>
  </si>
  <si>
    <t>256437     BABA PETROLEUM KISAN SEVA KEND</t>
  </si>
  <si>
    <t>256443     SHRI SAI MAULI PETROLEUM</t>
  </si>
  <si>
    <t>256518     YASHRAJ PETROLEUM KSK</t>
  </si>
  <si>
    <t>257379     SHRI HUMJAI KISAN SEVA KENDRA</t>
  </si>
  <si>
    <t>257425     APMC BARAMATI PETROLEUM</t>
  </si>
  <si>
    <t>258692     SADGURU KISAN SEVA KENDRA</t>
  </si>
  <si>
    <t>258697     MANJULAI PETROLEUM KSK</t>
  </si>
  <si>
    <t>258712     SHIV LAXMI PETROLEUM</t>
  </si>
  <si>
    <t>260035     SATGURU FUELS KSK</t>
  </si>
  <si>
    <t>260257     SRINIVAS PETROLEUM KSK</t>
  </si>
  <si>
    <t>260333     YASH PETROLEUM KSK</t>
  </si>
  <si>
    <t>260363     VIGHNAHAR PETROLEUM KSK</t>
  </si>
  <si>
    <t>260966     JAYWANT PETROLEUM KSK</t>
  </si>
  <si>
    <t>260987     PIONEER PETROLEUM</t>
  </si>
  <si>
    <t>262399     JAIHIND PETROLEUM KSK</t>
  </si>
  <si>
    <t>262928     UNDRE PETROLEUM KSK</t>
  </si>
  <si>
    <t>263450     VISHWAJEET LOKHANDE PETRO KSK</t>
  </si>
  <si>
    <t>264117     BHAGYARAJA PETROLEUM KSK</t>
  </si>
  <si>
    <t>264152     MAA GANGA PETROLEUM KSK</t>
  </si>
  <si>
    <t>264781     KADAM PATIL PETROLEUM KSK</t>
  </si>
  <si>
    <t>264805     VIJAY PETROLEUM</t>
  </si>
  <si>
    <t>264823     GANRAJ PETROLEUM KSK</t>
  </si>
  <si>
    <t>265345     VENUS PETROLEUM KSK</t>
  </si>
  <si>
    <t>265363     SHRI NANDADEVI PETROLEUM</t>
  </si>
  <si>
    <t>265453     M/S DAUND SUGAR PETROLEUM KSK</t>
  </si>
  <si>
    <t>265455     SHRI VIGHNAHAR PETROLEUM KSK</t>
  </si>
  <si>
    <t>265522     DHANASHREE PETROLEUM KSK</t>
  </si>
  <si>
    <t>265541     B.D.PETROLEUM</t>
  </si>
  <si>
    <t>265564     BHIMASHANKAR KRISHI KSK</t>
  </si>
  <si>
    <t>265916     KRIPA PETROLEUM KSK</t>
  </si>
  <si>
    <t>266145     K.K.PETROLEUM</t>
  </si>
  <si>
    <t>266147     DESHMUKH PETROLEUM KSK</t>
  </si>
  <si>
    <t>266148     ROYALE AUTOMOBILES</t>
  </si>
  <si>
    <t>266517     PATIL PETROLEUM KSK</t>
  </si>
  <si>
    <t>266553     SWAMI KRUPA PETROLEUM</t>
  </si>
  <si>
    <t>266557     SANGRAM PETROLEUM</t>
  </si>
  <si>
    <t>267352     YASH PETROLEUM KISAN SEVA KEND</t>
  </si>
  <si>
    <t>267359     RIYA PETROLEUM KSK</t>
  </si>
  <si>
    <t>267555     VYAWAHARE PETROLEUM KSK</t>
  </si>
  <si>
    <t>268059     BALAJI VISHWA PETROLEUM</t>
  </si>
  <si>
    <t>268457     SHRI DATTAKRUPA PETRO AGENCY</t>
  </si>
  <si>
    <t>268479     HANGESHWAR KISAN SEVA KENDRA</t>
  </si>
  <si>
    <t>268525     SAMRUDDHI PETROLEUM KSK</t>
  </si>
  <si>
    <t>268527     SAI PETROLEUM KSK</t>
  </si>
  <si>
    <t>268560     S. P. PETROLEUM</t>
  </si>
  <si>
    <t>268569     G. P. PETROLEUM KSK</t>
  </si>
  <si>
    <t>268571     HARIYALI FUELS</t>
  </si>
  <si>
    <t>268574     DEOKAR PETROLEUM</t>
  </si>
  <si>
    <t>268955     YASHODEEP PETROLEUM</t>
  </si>
  <si>
    <t>269348     SANT KRUPA PETROLEUM KSK</t>
  </si>
  <si>
    <t>269385     VITTHAL PETROLEUM</t>
  </si>
  <si>
    <t>269389     SHREE SAIRAJ PETROLEUM KSK</t>
  </si>
  <si>
    <t>269488     DATTARAJ PETROLEUM KSK</t>
  </si>
  <si>
    <t>269890     SHREE BALAJI FILLING STATION</t>
  </si>
  <si>
    <t>269896     PRATIK FUELLING CENTRE</t>
  </si>
  <si>
    <t>271058     KAVERI PETROLEUM</t>
  </si>
  <si>
    <t>271059     RAM LAXMAN PETROLEUM KSK</t>
  </si>
  <si>
    <t>271657     KUSUM PETROLEUM KSK</t>
  </si>
  <si>
    <t>271759     OM PETROLEUM KSKGAT NO 92/1</t>
  </si>
  <si>
    <t>271784     KAD PETROL DEPOT</t>
  </si>
  <si>
    <t>271800     VARIJA SERVICE STATION</t>
  </si>
  <si>
    <t>272281     SAI SAMRAT PETROLEUM</t>
  </si>
  <si>
    <t>272296     KRUSHNAI PETROLEUM KSK</t>
  </si>
  <si>
    <t>272298     SRISHTI PETROLEUM KSK</t>
  </si>
  <si>
    <t>272312     SHRI SIDDHESHWAR PETROLEUM KSK</t>
  </si>
  <si>
    <t>272317     SHRIRAM PETROLEUM KSK</t>
  </si>
  <si>
    <t>272759     BAVDHAN VIKAS PETROLEUM KSK</t>
  </si>
  <si>
    <t>272815     GAJENDRA PETROLEUM</t>
  </si>
  <si>
    <t>272823     TAWARE PETROLEUM SERVICES</t>
  </si>
  <si>
    <t>272876     NANDADEEP PETROLEUM</t>
  </si>
  <si>
    <t>272878     DNYANADA PETROLEUM</t>
  </si>
  <si>
    <t>273082     MAULI PETROLEUM KSK</t>
  </si>
  <si>
    <t>273370     D S PETROLEUM KSK</t>
  </si>
  <si>
    <t>273418     SHRIRAM SAMARTH PETROLEUM</t>
  </si>
  <si>
    <t>273554     SHITOLE PETROLEUM KSK</t>
  </si>
  <si>
    <t>273826     NIKITA PETROLEUM</t>
  </si>
  <si>
    <t>273926     TAMBE &amp; SONS KSK</t>
  </si>
  <si>
    <t>274012     VEER PETROLEUM,</t>
  </si>
  <si>
    <t>274584     INDU PETROLEUM KSK</t>
  </si>
  <si>
    <t>274636     DHARMNATH PETROLEUM</t>
  </si>
  <si>
    <t>274637     OM NATH PETROL PUMP</t>
  </si>
  <si>
    <t>275174     KRISHI UTPANNA BAZAAR SAM KSK</t>
  </si>
  <si>
    <t>275379     BHAMA PETROLEUM</t>
  </si>
  <si>
    <t>275380     SHREE SRUSHTI PETROLEUM</t>
  </si>
  <si>
    <t>275849     VENKATESHWARA PETROLEUM KSK</t>
  </si>
  <si>
    <t>276583     UMA PETROLEUM</t>
  </si>
  <si>
    <t>276635     YASHODA PETROLEUM</t>
  </si>
  <si>
    <t>276665     SHRI DHANAI PETROLEUM</t>
  </si>
  <si>
    <t>276696     SHRI SIDDHIVINAYAK PET. KSK</t>
  </si>
  <si>
    <t>276717     SAI PUJA PETROLEUM</t>
  </si>
  <si>
    <t>277396     ANAND PETROLEUM</t>
  </si>
  <si>
    <t>277399     SONAI PETROLEUM SERVICES</t>
  </si>
  <si>
    <t>277554     VISHWAS PETROLEUM KSK</t>
  </si>
  <si>
    <t>277559     SHIVRAJ PETROLEUM</t>
  </si>
  <si>
    <t>277563     GHOSALE PETROLEUM</t>
  </si>
  <si>
    <t>277568     SHRI AMBIKA PETROLEUM KSK</t>
  </si>
  <si>
    <t>278146     SADGURU PETROLEUM</t>
  </si>
  <si>
    <t>278147     P G PETROLEUM</t>
  </si>
  <si>
    <t>278694     SHREE GAJANAN MAHARAJ PETROLEU</t>
  </si>
  <si>
    <t>278696     KAKA TAMBE PETROLEUM</t>
  </si>
  <si>
    <t>279185     SHREE SAI PETROLEUM</t>
  </si>
  <si>
    <t>279738     S R MOTE FUEL STATION</t>
  </si>
  <si>
    <t>280151     SATHE PETROLEUM</t>
  </si>
  <si>
    <t>280302     M/S MALHAR PETROL CENTRE</t>
  </si>
  <si>
    <t>280303     M/S SHREENATH PETROLEUM</t>
  </si>
  <si>
    <t>280306     YASHGANGA PETROLEUM</t>
  </si>
  <si>
    <t>280994     SUBHODINI PETROLEUM</t>
  </si>
  <si>
    <t>281539     BACHAL PETROLEUM</t>
  </si>
  <si>
    <t>282170     TRIMURTI PETROLEUM</t>
  </si>
  <si>
    <t>282740     SHIV KAILASH PETROLEUM</t>
  </si>
  <si>
    <t>282747     RAMKUVAR PETROLEUM</t>
  </si>
  <si>
    <t>282762     KHANDELWAL PETROLEUM</t>
  </si>
  <si>
    <t>282776     UNDRE PATIL PETROLEUM</t>
  </si>
  <si>
    <t>283241     OM SAI PETROLEUM</t>
  </si>
  <si>
    <t>283332     DHAWAN PATIL KISAN SEVA KENDRA</t>
  </si>
  <si>
    <t>283735     LAKSHMIPATI ENTERPRISES</t>
  </si>
  <si>
    <t>283999     RUSHI PETROLEUM</t>
  </si>
  <si>
    <t>284034     WARADRAJ PETROLEUM</t>
  </si>
  <si>
    <t>284827     KHOT PETROLEUM KSK</t>
  </si>
  <si>
    <t>284991     SHRI SHIRSAI PETROLEUM</t>
  </si>
  <si>
    <t>285018     SHRI SAI GANESH PETROLEUM</t>
  </si>
  <si>
    <t>285030     SAI PETROLEUM KSK</t>
  </si>
  <si>
    <t>285032     PRASAD PETROLEUM</t>
  </si>
  <si>
    <t>285568     BABA PETROL PUMP</t>
  </si>
  <si>
    <t>286127     SAI GANESH PETROLEUM</t>
  </si>
  <si>
    <t>286691     PAIS PETROLEUM</t>
  </si>
  <si>
    <t>288112     BANESHWAR PETROLEUM KSK</t>
  </si>
  <si>
    <t>288293     GURU KRUPA PETROLEUM</t>
  </si>
  <si>
    <t>288339     SWARA PETROLEUM</t>
  </si>
  <si>
    <t>288855     ADITYA PETRO CORP</t>
  </si>
  <si>
    <t>289408     SIDDHIVINAYAK KISAN SEVA KENDRA</t>
  </si>
  <si>
    <t>289411     HARIDAS PETROLEUM</t>
  </si>
  <si>
    <t>289431     JEDHE PETROLEUM</t>
  </si>
  <si>
    <t>290590     SUMA PETROLEUM</t>
  </si>
  <si>
    <t>291500     SWAMI PETROLEUM</t>
  </si>
  <si>
    <t>292104     KADAM PETROLEUM</t>
  </si>
  <si>
    <t>292403     JADHAV SERVICES</t>
  </si>
  <si>
    <t>292488     PADMAVATI PETROLEUM</t>
  </si>
  <si>
    <t>292810     SAI BABA PETROLEUM,</t>
  </si>
  <si>
    <t>292987     DUDHANE PETROLEUM</t>
  </si>
  <si>
    <t>293084     JAYASHREE PETROLEUM</t>
  </si>
  <si>
    <t>293485     YASHASHRI AGRO FUELLING KSK</t>
  </si>
  <si>
    <t>294669     MACHHINDRANATH AND SONS PETROLEUM</t>
  </si>
  <si>
    <t>295142     SATAV PETROLEUM</t>
  </si>
  <si>
    <t>295696     SUHAS PRASAD PETROLEUM</t>
  </si>
  <si>
    <t>295698     WADKAR PETROLEUM</t>
  </si>
  <si>
    <t>296138     DUBASH PETROLEUM</t>
  </si>
  <si>
    <t>296171     SWARAJ PETROL &amp; DIESEL PUMP</t>
  </si>
  <si>
    <t>296308     ADITI PETROLEUM KISAN SEVA KENDRA</t>
  </si>
  <si>
    <t>296747     REGAL PETROLEUM</t>
  </si>
  <si>
    <t>297159     KULASWAMINI PETROLEUM KSK</t>
  </si>
  <si>
    <t>297758     AJINKYA PETROLEUM KSK</t>
  </si>
  <si>
    <t>298395     SANSKAR PETROLEUM</t>
  </si>
  <si>
    <t>298396     BBALAJI PETROLINK</t>
  </si>
  <si>
    <t>298886     GADE PETROLEUM KISAN SEVA KENDRA</t>
  </si>
  <si>
    <t>298930     SHRI KALIKA PETROLEUM</t>
  </si>
  <si>
    <t>299250     DARSHAN PETROLEUM</t>
  </si>
  <si>
    <t>299293     VIGHNAHARTA PETROLEUM KSK</t>
  </si>
  <si>
    <t>299301     SHREE NARAYAN MAHARAJ PETROLEUM</t>
  </si>
  <si>
    <t>304691     J. PATIL PETROLEUM</t>
  </si>
  <si>
    <t>304744     OM SAI PETROLEUM</t>
  </si>
  <si>
    <t>304746     SAKSHAM PETROLEUM</t>
  </si>
  <si>
    <t>305176     ANAND PETROL AND DIESELS</t>
  </si>
  <si>
    <t>306123     SHREE SADBHAVANA PETROLEUM</t>
  </si>
  <si>
    <t>306380     SHIVKRUPA PETROLEUM KSK</t>
  </si>
  <si>
    <t>306971     S K PETROLEUM</t>
  </si>
  <si>
    <t>307928     RAJLAXMI PETROHUB</t>
  </si>
  <si>
    <t>308514     SARVESH PETROLEUM</t>
  </si>
  <si>
    <t>308570     SAARTHSHAURYA AGENCIES</t>
  </si>
  <si>
    <t>308586     MORAYA PETROL PUMP</t>
  </si>
  <si>
    <t>308595     MALLIKARJUNESHWAR PETROLIUM</t>
  </si>
  <si>
    <t>308603     SHRI VRIDHESWAR SAHAKARI SAKHAR KAR</t>
  </si>
  <si>
    <t>308905     KHAMBESHWAR PETROLEUM KSK</t>
  </si>
  <si>
    <t>309051     JANAI PETROLEUM</t>
  </si>
  <si>
    <t>310993     MATOSHRI SERVICE STATION</t>
  </si>
  <si>
    <t>311268     RAMLING PETROLEUM</t>
  </si>
  <si>
    <t>311309     KUSUM PETROLINK</t>
  </si>
  <si>
    <t>311572     AHER PATIL &amp; SONS</t>
  </si>
  <si>
    <t>311580     TIRUPATI BALAJI PETROLEUM</t>
  </si>
  <si>
    <t>312274     MAITRI PETROLEUM</t>
  </si>
  <si>
    <t>312338     SHRI DATTAKRUPA PETROLEUM</t>
  </si>
  <si>
    <t>312681     VILAS PETROLEUM</t>
  </si>
  <si>
    <t>312828     PAWAR PETROLEUM</t>
  </si>
  <si>
    <t>313338     JADHAV PETRO PARK</t>
  </si>
  <si>
    <t>313960     SAUBHAGYA PETROLEUM</t>
  </si>
  <si>
    <t>315103     M/S VAIBHAV PETRO HUB</t>
  </si>
  <si>
    <t>315209     COMMANDANT SRPF GR.V</t>
  </si>
  <si>
    <t>316807     M/S DHIWAR PETROLEUM</t>
  </si>
  <si>
    <t>319406     MAHALAXMI PETROLINK</t>
  </si>
  <si>
    <t>319411     SHREE YASHWANTRAY PETROLEUM</t>
  </si>
  <si>
    <t>320001     OM SAIDATTA PETROLEUM KSK</t>
  </si>
  <si>
    <t>323650     K G PETROLEUM</t>
  </si>
  <si>
    <t>324304     JYOTIRLING PETROLEUM</t>
  </si>
  <si>
    <t>325050     LAKSHMI ENERGY &amp; FUEL</t>
  </si>
  <si>
    <t>325054     GAURAV PETROLEUM</t>
  </si>
  <si>
    <t>325871     COMMANDANT SRPF GR.-VII</t>
  </si>
  <si>
    <t>325976     SHRI NILKANTHESHWAR PETROLEUM</t>
  </si>
  <si>
    <t>326616     SURYAWANSHI PETROLEUM</t>
  </si>
  <si>
    <t>326627     J.G.RAUT PETROLEUM</t>
  </si>
  <si>
    <t>326650     ABHISHEK PETROLEUM</t>
  </si>
  <si>
    <t>327530     B.G.PETROLEUM</t>
  </si>
  <si>
    <t>327553     MAGAR PETROLEUM</t>
  </si>
  <si>
    <t>327559     RAMKRUSHNA PETROLEUM</t>
  </si>
  <si>
    <t>328581     MILESTONE FUEL STATION</t>
  </si>
  <si>
    <t>328609     GOKUL PETROLEUM</t>
  </si>
  <si>
    <t>328616     SHRI VYANKANATH PETROLEUM KSK</t>
  </si>
  <si>
    <t>329224     SHREE GANESHA PETROLEUM</t>
  </si>
  <si>
    <t>331151     M/S SHRI KRISHNA PETROLEUM</t>
  </si>
  <si>
    <t>331158     NAVJEET PETROLEUM</t>
  </si>
  <si>
    <t>331184     SHASHIDHAN PETROLEUM</t>
  </si>
  <si>
    <t>331375     SIDDHI N SIDDHARTH PETROLEUM</t>
  </si>
  <si>
    <t>331708     TRISHUL SERVICE STATION PVT LTD</t>
  </si>
  <si>
    <t>331907     SHRI GANESH PETRO HUB</t>
  </si>
  <si>
    <t>332065     SHRI SHIVSAI FUEL STATION</t>
  </si>
  <si>
    <t>332691     DNYANSAGAR PETROLEUM SERVICES</t>
  </si>
  <si>
    <t>332702     SAI SINDHU PETROLEUM</t>
  </si>
  <si>
    <t>332711     AGRICULTURAL PRODUCE MKT COMMITTEE</t>
  </si>
  <si>
    <t>332752     MAULI KRUPA PETROLEUM</t>
  </si>
  <si>
    <t>332796     M/S SAI PETROLEUM STATION</t>
  </si>
  <si>
    <t>332801     DNYANRAJ ENTERPRISES</t>
  </si>
  <si>
    <t>333846     GHANASHYAM PETROLEUM</t>
  </si>
  <si>
    <t>333927     SOMNATH PETROLEUM</t>
  </si>
  <si>
    <t>334432     JOPAIDEVI PETROLEUM</t>
  </si>
  <si>
    <t>334612     GHANVAT PETROLEUM</t>
  </si>
  <si>
    <t>334890     GS PETROLEUM</t>
  </si>
  <si>
    <t>335113     SWATI PETROLEUM</t>
  </si>
  <si>
    <t>335534     SHRI BALAJI PETROLEUM KSK</t>
  </si>
  <si>
    <t>335558     SARVESH PETRO HUB</t>
  </si>
  <si>
    <t>335564     AGRICULTURAL PRODUCE MKT COMMITTEE</t>
  </si>
  <si>
    <t>335581     SAIRAJ PETRO HUB</t>
  </si>
  <si>
    <t>336345     SUDEEP PETROLEUM</t>
  </si>
  <si>
    <t>336616     UDAY FUEL SERVICES</t>
  </si>
  <si>
    <t>336622     SHIVANSH PETROLEUM</t>
  </si>
  <si>
    <t>336754     VARAD PETROLEUM</t>
  </si>
  <si>
    <t>336875     SHIV SRUSHTI PETROLEUM</t>
  </si>
  <si>
    <t>337104     BHAGAT PETROLEUM</t>
  </si>
  <si>
    <t>337539     SANGAMNER SHETKI SAHAKARI SANGH LTD</t>
  </si>
  <si>
    <t>337607     MATOSHREE PETROLEUM</t>
  </si>
  <si>
    <t>337709     DADASAHEB GANESH DALAVI PETROLEUM</t>
  </si>
  <si>
    <t>337776     SHIV PETROLEUM KSK</t>
  </si>
  <si>
    <t>338424     YASHODAMATA PETROLEUM</t>
  </si>
  <si>
    <t>338696     SHREE JAGDAMBA PETROLEUM</t>
  </si>
  <si>
    <t>338727     DATTA PETROLEUM</t>
  </si>
  <si>
    <t>338750     VIMAL FUEL STATION</t>
  </si>
  <si>
    <t>338875     ASHOK PETROLEUM</t>
  </si>
  <si>
    <t>338877     SHIVAM PETROLEUM</t>
  </si>
  <si>
    <t>338885     TISGAON FUEL PLAZA</t>
  </si>
  <si>
    <t>338994     MADHU MANJU FUEL POINT</t>
  </si>
  <si>
    <t>338999     BHIMASHANKAR SERVICE STATION</t>
  </si>
  <si>
    <t>339681     JAY MALHAR PETROLEUM</t>
  </si>
  <si>
    <t>340180     P. D. PETROLEUM</t>
  </si>
  <si>
    <t>340789     SHRI BHAIRAVNATH PETROLEUM</t>
  </si>
  <si>
    <t>341453     RASKAR PETROLEUM</t>
  </si>
  <si>
    <t>341497     PATIL PETROLEUM</t>
  </si>
  <si>
    <t>341505     SHRI PANDURANG PETROLEUM</t>
  </si>
  <si>
    <t>341516     DWARKADHISH PETROLEUM</t>
  </si>
  <si>
    <t>341913     SHREERAM PETROLEUM</t>
  </si>
  <si>
    <t>341914     SHRI SHRI PETROLEUM</t>
  </si>
  <si>
    <t>342091     SHRI GURUDATTA KSK</t>
  </si>
  <si>
    <t>342102     BHAGWAN PETROLEUM</t>
  </si>
  <si>
    <t>342786     PRAVARA PHALE BHAJIPALA UTPADAK PKV</t>
  </si>
  <si>
    <t>342794     AKSHAY PETROLEUM</t>
  </si>
  <si>
    <t>343267     TRIRATNA PETROLEUM</t>
  </si>
  <si>
    <t>343452     JAI VIJAY PETROLEUM</t>
  </si>
  <si>
    <t>343514     SHIVSAMARTH PETROLEUM</t>
  </si>
  <si>
    <t>343520     SADGURU KRUPA PETROLEUM</t>
  </si>
  <si>
    <t>343574     JAYRAJ PETROLEUM</t>
  </si>
  <si>
    <t>344146     JAGDAMBA KISAN SEVA KENDRA</t>
  </si>
  <si>
    <t>344153     HANGESHWAR PETROLEUM</t>
  </si>
  <si>
    <t>344184     SHRI SAI ENERGY PETROLEUM</t>
  </si>
  <si>
    <t>344195     SANSKRUTI PETROLEUM</t>
  </si>
  <si>
    <t>344894     ALESHWAR PETROLEUM</t>
  </si>
  <si>
    <t>344908     M B PETROLEUM</t>
  </si>
  <si>
    <t>344909     MAN DESHI PETROLEUM</t>
  </si>
  <si>
    <t>344916     JYOTTIBBA PETROLEUM</t>
  </si>
  <si>
    <t>344917     TAMHANE PETROLEUM</t>
  </si>
  <si>
    <t>344981     SHRI BHOJLING PETROLEUM</t>
  </si>
  <si>
    <t>344982     SHREENATH PETROLEUM SERVICE</t>
  </si>
  <si>
    <t>345565     RAJPURE PETROLEUM</t>
  </si>
  <si>
    <t>345608     OMKAR PETROLEUM</t>
  </si>
  <si>
    <t>345609     SAINATH ENTERPRISE</t>
  </si>
  <si>
    <t>345611     SHRI NAGESHWAR PETROLEUM</t>
  </si>
  <si>
    <t>345693     MALHAR ENERGY</t>
  </si>
  <si>
    <t>345706     SHIVSAMARTH PETROCHEM</t>
  </si>
  <si>
    <t>346336     SSK PETROLEUM</t>
  </si>
  <si>
    <t>346362     ATOLE PETROLEUM</t>
  </si>
  <si>
    <t>346363     MAHIPATI MAHARAJ GP PETROLEUM</t>
  </si>
  <si>
    <t>346369     DATTA KAKA SANE PETROLEUM</t>
  </si>
  <si>
    <t>346397     S. H. DUBAL PETROLEUM</t>
  </si>
  <si>
    <t>346399     JYOTIRLING KISAN SEWA KENDRA</t>
  </si>
  <si>
    <t>346403     SHIVANKEET PETROLEUM</t>
  </si>
  <si>
    <t>347071     SAIDEEP PETROLEUM</t>
  </si>
  <si>
    <t>347361     SHREE MAULI PETROLEUM</t>
  </si>
  <si>
    <t>347366     DARSHAN PETROLEUM &amp; TRANSPORT SERVI</t>
  </si>
  <si>
    <t>347370     ABHISHEK PETROLEUM</t>
  </si>
  <si>
    <t>347382     PARVATI PETROLEUM</t>
  </si>
  <si>
    <t>347383     SALUNKE PETROLEUM</t>
  </si>
  <si>
    <t>347461     PESHAVE PETROLEUM</t>
  </si>
  <si>
    <t>347490     SHAHID PRADIP SARODE PETROLEUM</t>
  </si>
  <si>
    <t>347513     SUKHWANI PETROTECH</t>
  </si>
  <si>
    <t>347526     JAI HIND PETROLEUM</t>
  </si>
  <si>
    <t>348211     MAHALAXMI PETROLEUM</t>
  </si>
  <si>
    <t>348890     AKSHAY PETRO SALES</t>
  </si>
  <si>
    <t>349731     FAJAL PETROLEUM</t>
  </si>
  <si>
    <t>350292     MAHALAXMI FUEL STATION</t>
  </si>
  <si>
    <t>350836     BAHIRAT PATIL PETROLEUM</t>
  </si>
  <si>
    <t>351541     GANGOTRI PETROLEUM</t>
  </si>
  <si>
    <t>352085     M/S KADAM PATIL PETRO SERVICE</t>
  </si>
  <si>
    <t>352692     VAIBHAVI FUEL STATION</t>
  </si>
  <si>
    <t>352873     M N MHASKE PATIL PETROLEUM</t>
  </si>
  <si>
    <t>353015     S.V.M. PETROLEUM</t>
  </si>
  <si>
    <t>353751     K.M.S.K ENERGY AND AUTO SERVICE STA</t>
  </si>
  <si>
    <t>354113     SHREE MAHALAXMI PETROLEUM</t>
  </si>
  <si>
    <t>354271     SHREE TUKARAM PETROLEUM</t>
  </si>
  <si>
    <t>354292     SHRI GANESH FILLING STATION</t>
  </si>
  <si>
    <t>354309     SVS PETROLEUM</t>
  </si>
  <si>
    <t>354344     STAR PETROLEUM</t>
  </si>
  <si>
    <t>354443     SAI VEER BHADRA PETROLEUM</t>
  </si>
  <si>
    <t>354967     POLESTAR FUEL STATION</t>
  </si>
  <si>
    <t>355347     LOYAL PETROL PUMP</t>
  </si>
  <si>
    <t>355348     MADHAV PETROLEUM</t>
  </si>
  <si>
    <t>355384     WAGHESHWARA PETROHUB</t>
  </si>
  <si>
    <t>355582     SWARAJ PETROLINK</t>
  </si>
  <si>
    <t>356386     BALAMBIKA PETROL STATION</t>
  </si>
  <si>
    <t>356680     SHREE MANIK PETROLEUM</t>
  </si>
  <si>
    <t>356681     SHRIRAM PETROL PUMP</t>
  </si>
  <si>
    <t>358164     SARTHAK PETROL PUMP</t>
  </si>
  <si>
    <t>359225     VIJAYRAJ PETROLEUM</t>
  </si>
  <si>
    <t>359445     TANISHQA PETROLEUM</t>
  </si>
  <si>
    <t>360731     SANAS PETROLEUM</t>
  </si>
  <si>
    <t>361682     S. S. PETROLEUM</t>
  </si>
  <si>
    <t>362531     SRI BALASAHEB GADILKAR PETROLEUM</t>
  </si>
  <si>
    <t>362532     TRIMURTI PETROL PUMP</t>
  </si>
  <si>
    <t>363282     SHIVRATNA AGENCY</t>
  </si>
  <si>
    <t>363424     C. R. GODSE PETROLEUM</t>
  </si>
  <si>
    <t>367894     HIGHWAY ENERGY JUNCTION</t>
  </si>
  <si>
    <t>368608     COCO ASTAGAON ADHOC OM GURUDEV PETR</t>
  </si>
  <si>
    <t>369441     D K PETROLEUM</t>
  </si>
  <si>
    <t>369442     SHRI YASHWANT PETROLEUM</t>
  </si>
  <si>
    <t>369443     RAJHANS PETROLEUM</t>
  </si>
  <si>
    <t>370143     SHIVRATNA PETROL PUMP</t>
  </si>
  <si>
    <t>371006     SURYA PETROLEUM</t>
  </si>
  <si>
    <t>371055     COCO VADGAONPAN-ADHOC SAMARTH PETRO</t>
  </si>
  <si>
    <t>371924     SAI AGENCY</t>
  </si>
  <si>
    <t>372701     JAGTAP PETROLEUM</t>
  </si>
  <si>
    <t>372702     K K PETROLEUM</t>
  </si>
  <si>
    <t>372758     PAWAR AND SITAI FUEL</t>
  </si>
  <si>
    <t>373799     JAIHIND FUELS</t>
  </si>
  <si>
    <t>373800     MAPS PETROLEUM</t>
  </si>
  <si>
    <t>373914     GP PETROLEUM</t>
  </si>
  <si>
    <t>374090     COCO WRD ADHOC 3S SERVICE STATION</t>
  </si>
  <si>
    <t>374921     SHARAYU AGRO INDUSTRIES LTD.</t>
  </si>
  <si>
    <t>374922     SHIVTEJ PETROL PUMP</t>
  </si>
  <si>
    <t>375065     AJINKYA POOJA PETROLEUM</t>
  </si>
  <si>
    <t>376895     JEEVAN PETROLEUM</t>
  </si>
  <si>
    <t>378372     ASHTAVINAYAK PETROLEUM</t>
  </si>
  <si>
    <t>378572     JAY PETROLEUM</t>
  </si>
  <si>
    <t>378576     NEW JOLLY PETROLEUM</t>
  </si>
  <si>
    <t>378597     SUBHEDAR PETROLEUM</t>
  </si>
  <si>
    <t>378598     SHRI KRISHNA PETROLEUM</t>
  </si>
  <si>
    <t>378599     AARYAN FUEL CORPORATION</t>
  </si>
  <si>
    <t>378776     OM SAI KRUSHNA PETROLEUM</t>
  </si>
  <si>
    <t>379084     COCO YERWADA  ADHOC VILAS PETROLEUM</t>
  </si>
  <si>
    <t>379095     COCO RANJANGAON ADHOC-SHREE GANESH</t>
  </si>
  <si>
    <t>379606     YASHRAJ PETROLEUM</t>
  </si>
  <si>
    <t>379686     SHIV PARVATI PETROLEUM</t>
  </si>
  <si>
    <t>380366     JAY MALHAR PETROLEUM</t>
  </si>
  <si>
    <t>381116     SHIV GOURANNSH PETROLEUM</t>
  </si>
  <si>
    <t>381186     NATHKRUPA PETROLEUM</t>
  </si>
  <si>
    <t>381798     Mamta Petroleum</t>
  </si>
  <si>
    <t>381929     Jay Shankar Petroleum</t>
  </si>
  <si>
    <t>381934     Mauli Fuel Station</t>
  </si>
  <si>
    <t>382024     Makhamale Petroleum</t>
  </si>
  <si>
    <t>382026     S B Petroleum</t>
  </si>
  <si>
    <t>382655     BALAJI PETROL PUMP</t>
  </si>
  <si>
    <t>382656     KSHIRSAGAR PETROLEUM</t>
  </si>
  <si>
    <t>382748     SHREE JAY MALHAR PETROLEUM</t>
  </si>
  <si>
    <t>383650     COCO Devlali-Adhoc Musmade &amp; Sons</t>
  </si>
  <si>
    <t>383736     GAVALI PETROLEUM</t>
  </si>
  <si>
    <t>383737     DNYANESHWARI PETROLEUM</t>
  </si>
  <si>
    <t>383803     KADAM PETROLEUM</t>
  </si>
  <si>
    <t>383832     BORUDE PETROLEUM</t>
  </si>
  <si>
    <t>384143     GURU PETROLEUM,</t>
  </si>
  <si>
    <t>384663     Shantai Petroleum</t>
  </si>
  <si>
    <t>385542     SHREE SHARADA PETROLEUM</t>
  </si>
  <si>
    <t>385803     Karle Gajraj Petroleum</t>
  </si>
  <si>
    <t>385847     COCO ASALE (ADHOC)</t>
  </si>
  <si>
    <t>385864     SHIV SHAMBHU PETROLEUM KSK</t>
  </si>
  <si>
    <t>386278     RADHIKA PETROLEUM</t>
  </si>
  <si>
    <t>386380     BHIMA SHANKAR ENERGY SERVICES</t>
  </si>
  <si>
    <t>386575     COCO CHASNALI ADHOC TIRUPATI BALAJI</t>
  </si>
  <si>
    <t>386713     COCO BALUPATLACHIWADI ADHOC BACHAL</t>
  </si>
  <si>
    <t>387659     SAJAI PETROLEUM</t>
  </si>
  <si>
    <t>387724     TIRUPATI PETROLEUM</t>
  </si>
  <si>
    <t>390976     SHYAM PETROLEUM</t>
  </si>
  <si>
    <t>391466     Gurudatta Petroleum</t>
  </si>
  <si>
    <t>392208     COCO WADUJ ADHOC SHRIRAM PETROL PUM</t>
  </si>
  <si>
    <t>392222     COCO SHRIGONDA ADHOC NATHKRUPA PETR</t>
  </si>
  <si>
    <t>392301     S N Borate Petroleum</t>
  </si>
  <si>
    <t>393411     COCO KOKAMTHAN DATTAPRABHA PETROLEU</t>
  </si>
  <si>
    <t>524930     KAJALE &amp; SONS (HSD)</t>
  </si>
  <si>
    <t>126352     SILVER JUBILEE MOTORS</t>
  </si>
  <si>
    <t>192259     BAFNA BROTHERS (MS)</t>
  </si>
  <si>
    <t>192262     KAJALE &amp; SONS</t>
  </si>
  <si>
    <t>381984     Ambika Petroleum</t>
  </si>
  <si>
    <t>504556     NEW AUTO CORNER-PUNE</t>
  </si>
  <si>
    <t>COCO KOKAMTHAN DATTAPRABHA PETROLEU</t>
  </si>
  <si>
    <t xml:space="preserve">Legacy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</si>
</sst>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/>
    <xf numFmtId="0" fontId="0" fillId="3" borderId="0" xfId="0" applyFill="1"/>
    <xf numFmtId="0" fontId="0" fillId="4" borderId="0" xfId="0" applyFill="1" applyAlignment="1">
      <alignment horizontal="left"/>
    </xf>
    <xf numFmtId="49" fontId="0" fillId="4" borderId="0" xfId="0" applyNumberFormat="1" applyFill="1"/>
    <xf numFmtId="4" fontId="0" fillId="0" borderId="0" xfId="0" applyNumberFormat="1"/>
    <xf numFmtId="49" fontId="0" fillId="0" borderId="0" xfId="0" applyNumberFormat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13812F-2806-4124-8932-8A81EB2FC90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3aaaebe-eb11-456a-b67b-ef7a77bfbfa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4D09-7AEB-4381-9459-D868BCF5E4A7}">
  <dimension ref="A1:J673"/>
  <sheetViews>
    <sheetView tabSelected="1" topLeftCell="A652" workbookViewId="0">
      <selection activeCell="L666" sqref="L666"/>
    </sheetView>
  </sheetViews>
  <sheetFormatPr defaultRowHeight="14.5" x14ac:dyDescent="0.35"/>
  <cols>
    <col min="2" max="2" width="29.7265625" customWidth="1"/>
    <col min="4" max="4" width="24.54296875" customWidth="1"/>
    <col min="5" max="5" width="12.08984375" customWidth="1"/>
    <col min="6" max="7" width="10.81640625" bestFit="1" customWidth="1"/>
    <col min="8" max="8" width="11.81640625" bestFit="1" customWidth="1"/>
    <col min="9" max="9" width="10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683</v>
      </c>
      <c r="G1" s="1" t="s">
        <v>684</v>
      </c>
      <c r="H1" s="1" t="s">
        <v>685</v>
      </c>
      <c r="I1" s="1" t="s">
        <v>684</v>
      </c>
    </row>
    <row r="2" spans="1:9" x14ac:dyDescent="0.35">
      <c r="A2" s="2">
        <v>125725</v>
      </c>
      <c r="B2" s="3" t="s">
        <v>5</v>
      </c>
      <c r="C2" s="2" t="s">
        <v>6</v>
      </c>
      <c r="D2" s="4" t="s">
        <v>7</v>
      </c>
      <c r="E2" s="5" t="s">
        <v>8</v>
      </c>
      <c r="F2" s="6">
        <f>SUMIF('MS SAP Dump'!$F$2:$F$603,$A2,'MS SAP Dump'!$D$2:$D$603)</f>
        <v>27</v>
      </c>
      <c r="G2" s="6">
        <v>60</v>
      </c>
      <c r="H2" s="6">
        <f>SUMIF('HSD SAP Dump'!$F$2:$F$602,$A2,'HSD SAP Dump'!$D$2:$D$602)</f>
        <v>69</v>
      </c>
      <c r="I2" s="6">
        <v>60</v>
      </c>
    </row>
    <row r="3" spans="1:9" x14ac:dyDescent="0.35">
      <c r="A3" s="2">
        <v>125737</v>
      </c>
      <c r="B3" s="3" t="s">
        <v>9</v>
      </c>
      <c r="C3" s="2" t="s">
        <v>6</v>
      </c>
      <c r="D3" s="4" t="s">
        <v>10</v>
      </c>
      <c r="E3" s="5" t="s">
        <v>8</v>
      </c>
      <c r="F3" s="6">
        <f>SUMIF('MS SAP Dump'!$F$2:$F$603,$A3,'MS SAP Dump'!$D$2:$D$603)</f>
        <v>0</v>
      </c>
      <c r="G3" s="6">
        <v>0</v>
      </c>
      <c r="H3" s="6">
        <f>SUMIF('HSD SAP Dump'!$F$2:$F$602,$A3,'HSD SAP Dump'!$D$2:$D$602)</f>
        <v>0</v>
      </c>
      <c r="I3" s="6">
        <v>0</v>
      </c>
    </row>
    <row r="4" spans="1:9" x14ac:dyDescent="0.35">
      <c r="A4" s="2">
        <v>125834</v>
      </c>
      <c r="B4" s="3" t="s">
        <v>11</v>
      </c>
      <c r="C4" s="2" t="s">
        <v>6</v>
      </c>
      <c r="D4" s="4" t="s">
        <v>12</v>
      </c>
      <c r="E4" s="5" t="s">
        <v>8</v>
      </c>
      <c r="F4" s="6">
        <f>SUMIF('MS SAP Dump'!$F$2:$F$603,$A4,'MS SAP Dump'!$D$2:$D$603)</f>
        <v>169</v>
      </c>
      <c r="G4" s="6">
        <v>48</v>
      </c>
      <c r="H4" s="6">
        <f>SUMIF('HSD SAP Dump'!$F$2:$F$602,$A4,'HSD SAP Dump'!$D$2:$D$602)</f>
        <v>30</v>
      </c>
      <c r="I4" s="6">
        <v>48</v>
      </c>
    </row>
    <row r="5" spans="1:9" x14ac:dyDescent="0.35">
      <c r="A5" s="2">
        <v>125893</v>
      </c>
      <c r="B5" s="3" t="s">
        <v>13</v>
      </c>
      <c r="C5" s="2" t="s">
        <v>6</v>
      </c>
      <c r="D5" s="4" t="s">
        <v>14</v>
      </c>
      <c r="E5" s="5" t="s">
        <v>8</v>
      </c>
      <c r="F5" s="6">
        <f>SUMIF('MS SAP Dump'!$F$2:$F$603,$A5,'MS SAP Dump'!$D$2:$D$603)</f>
        <v>45.5</v>
      </c>
      <c r="G5" s="6">
        <v>182</v>
      </c>
      <c r="H5" s="6">
        <f>SUMIF('HSD SAP Dump'!$F$2:$F$602,$A5,'HSD SAP Dump'!$D$2:$D$602)</f>
        <v>206.5</v>
      </c>
      <c r="I5" s="6">
        <v>182</v>
      </c>
    </row>
    <row r="6" spans="1:9" x14ac:dyDescent="0.35">
      <c r="A6" s="2">
        <v>126060</v>
      </c>
      <c r="B6" s="3" t="s">
        <v>15</v>
      </c>
      <c r="C6" s="2" t="s">
        <v>6</v>
      </c>
      <c r="D6" s="4" t="s">
        <v>16</v>
      </c>
      <c r="E6" s="5" t="s">
        <v>17</v>
      </c>
      <c r="F6" s="6">
        <f>SUMIF('MS SAP Dump'!$F$2:$F$603,$A6,'MS SAP Dump'!$D$2:$D$603)</f>
        <v>121.5</v>
      </c>
      <c r="G6" s="6">
        <v>396.5</v>
      </c>
      <c r="H6" s="6">
        <f>SUMIF('HSD SAP Dump'!$F$2:$F$602,$A6,'HSD SAP Dump'!$D$2:$D$602)</f>
        <v>678.5</v>
      </c>
      <c r="I6" s="6">
        <v>396.5</v>
      </c>
    </row>
    <row r="7" spans="1:9" x14ac:dyDescent="0.35">
      <c r="A7" s="2">
        <v>126064</v>
      </c>
      <c r="B7" s="3" t="s">
        <v>18</v>
      </c>
      <c r="C7" s="2" t="s">
        <v>6</v>
      </c>
      <c r="D7" s="4" t="s">
        <v>19</v>
      </c>
      <c r="E7" s="5" t="s">
        <v>17</v>
      </c>
      <c r="F7" s="6">
        <f>SUMIF('MS SAP Dump'!$F$2:$F$603,$A7,'MS SAP Dump'!$D$2:$D$603)</f>
        <v>60</v>
      </c>
      <c r="G7" s="6">
        <v>65</v>
      </c>
      <c r="H7" s="6">
        <f>SUMIF('HSD SAP Dump'!$F$2:$F$602,$A7,'HSD SAP Dump'!$D$2:$D$602)</f>
        <v>80</v>
      </c>
      <c r="I7" s="6">
        <v>65</v>
      </c>
    </row>
    <row r="8" spans="1:9" x14ac:dyDescent="0.35">
      <c r="A8" s="2">
        <v>126068</v>
      </c>
      <c r="B8" s="3" t="s">
        <v>20</v>
      </c>
      <c r="C8" s="2" t="s">
        <v>6</v>
      </c>
      <c r="D8" s="4" t="s">
        <v>16</v>
      </c>
      <c r="E8" s="5" t="s">
        <v>17</v>
      </c>
      <c r="F8" s="6">
        <f>SUMIF('MS SAP Dump'!$F$2:$F$603,$A8,'MS SAP Dump'!$D$2:$D$603)</f>
        <v>63</v>
      </c>
      <c r="G8" s="6">
        <v>94.5</v>
      </c>
      <c r="H8" s="6">
        <f>SUMIF('HSD SAP Dump'!$F$2:$F$602,$A8,'HSD SAP Dump'!$D$2:$D$602)</f>
        <v>147</v>
      </c>
      <c r="I8" s="6">
        <v>94.5</v>
      </c>
    </row>
    <row r="9" spans="1:9" x14ac:dyDescent="0.35">
      <c r="A9" s="2">
        <v>126071</v>
      </c>
      <c r="B9" s="3" t="s">
        <v>21</v>
      </c>
      <c r="C9" s="2" t="s">
        <v>6</v>
      </c>
      <c r="D9" s="4" t="s">
        <v>16</v>
      </c>
      <c r="E9" s="5" t="s">
        <v>17</v>
      </c>
      <c r="F9" s="6">
        <f>SUMIF('MS SAP Dump'!$F$2:$F$603,$A9,'MS SAP Dump'!$D$2:$D$603)</f>
        <v>45</v>
      </c>
      <c r="G9" s="6">
        <v>95</v>
      </c>
      <c r="H9" s="6">
        <f>SUMIF('HSD SAP Dump'!$F$2:$F$602,$A9,'HSD SAP Dump'!$D$2:$D$602)</f>
        <v>135</v>
      </c>
      <c r="I9" s="6">
        <v>95</v>
      </c>
    </row>
    <row r="10" spans="1:9" x14ac:dyDescent="0.35">
      <c r="A10" s="2">
        <v>126072</v>
      </c>
      <c r="B10" s="3" t="s">
        <v>22</v>
      </c>
      <c r="C10" s="2" t="s">
        <v>6</v>
      </c>
      <c r="D10" s="4" t="s">
        <v>16</v>
      </c>
      <c r="E10" s="5" t="s">
        <v>17</v>
      </c>
      <c r="F10" s="6">
        <f>SUMIF('MS SAP Dump'!$F$2:$F$603,$A10,'MS SAP Dump'!$D$2:$D$603)</f>
        <v>120</v>
      </c>
      <c r="G10" s="6">
        <v>285</v>
      </c>
      <c r="H10" s="6">
        <f>SUMIF('HSD SAP Dump'!$F$2:$F$602,$A10,'HSD SAP Dump'!$D$2:$D$602)</f>
        <v>200</v>
      </c>
      <c r="I10" s="6">
        <v>285</v>
      </c>
    </row>
    <row r="11" spans="1:9" x14ac:dyDescent="0.35">
      <c r="A11" s="2">
        <v>126073</v>
      </c>
      <c r="B11" s="3" t="s">
        <v>23</v>
      </c>
      <c r="C11" s="2" t="s">
        <v>6</v>
      </c>
      <c r="D11" s="4" t="s">
        <v>16</v>
      </c>
      <c r="E11" s="5" t="s">
        <v>17</v>
      </c>
      <c r="F11" s="6">
        <f>SUMIF('MS SAP Dump'!$F$2:$F$603,$A11,'MS SAP Dump'!$D$2:$D$603)</f>
        <v>95</v>
      </c>
      <c r="G11" s="6">
        <v>145</v>
      </c>
      <c r="H11" s="6">
        <f>SUMIF('HSD SAP Dump'!$F$2:$F$602,$A11,'HSD SAP Dump'!$D$2:$D$602)</f>
        <v>305</v>
      </c>
      <c r="I11" s="6">
        <v>145</v>
      </c>
    </row>
    <row r="12" spans="1:9" x14ac:dyDescent="0.35">
      <c r="A12" s="2">
        <v>126074</v>
      </c>
      <c r="B12" s="3" t="s">
        <v>24</v>
      </c>
      <c r="C12" s="2" t="s">
        <v>6</v>
      </c>
      <c r="D12" s="4" t="s">
        <v>16</v>
      </c>
      <c r="E12" s="5" t="s">
        <v>17</v>
      </c>
      <c r="F12" s="6">
        <f>SUMIF('MS SAP Dump'!$F$2:$F$603,$A12,'MS SAP Dump'!$D$2:$D$603)</f>
        <v>90</v>
      </c>
      <c r="G12" s="6">
        <v>110</v>
      </c>
      <c r="H12" s="6">
        <f>SUMIF('HSD SAP Dump'!$F$2:$F$602,$A12,'HSD SAP Dump'!$D$2:$D$602)</f>
        <v>90</v>
      </c>
      <c r="I12" s="6">
        <v>110</v>
      </c>
    </row>
    <row r="13" spans="1:9" x14ac:dyDescent="0.35">
      <c r="A13" s="2">
        <v>126078</v>
      </c>
      <c r="B13" s="3" t="s">
        <v>25</v>
      </c>
      <c r="C13" s="2" t="s">
        <v>6</v>
      </c>
      <c r="D13" s="4" t="s">
        <v>26</v>
      </c>
      <c r="E13" s="5" t="s">
        <v>17</v>
      </c>
      <c r="F13" s="6">
        <f>SUMIF('MS SAP Dump'!$F$2:$F$603,$A13,'MS SAP Dump'!$D$2:$D$603)</f>
        <v>30</v>
      </c>
      <c r="G13" s="6">
        <v>24</v>
      </c>
      <c r="H13" s="6">
        <f>SUMIF('HSD SAP Dump'!$F$2:$F$602,$A13,'HSD SAP Dump'!$D$2:$D$602)</f>
        <v>18</v>
      </c>
      <c r="I13" s="6">
        <v>24</v>
      </c>
    </row>
    <row r="14" spans="1:9" x14ac:dyDescent="0.35">
      <c r="A14" s="2">
        <v>126081</v>
      </c>
      <c r="B14" s="3" t="s">
        <v>27</v>
      </c>
      <c r="C14" s="2" t="s">
        <v>6</v>
      </c>
      <c r="D14" s="4" t="s">
        <v>16</v>
      </c>
      <c r="E14" s="5" t="s">
        <v>17</v>
      </c>
      <c r="F14" s="6">
        <f>SUMIF('MS SAP Dump'!$F$2:$F$603,$A14,'MS SAP Dump'!$D$2:$D$603)</f>
        <v>101.5</v>
      </c>
      <c r="G14" s="6">
        <v>87.5</v>
      </c>
      <c r="H14" s="6">
        <f>SUMIF('HSD SAP Dump'!$F$2:$F$602,$A14,'HSD SAP Dump'!$D$2:$D$602)</f>
        <v>80.5</v>
      </c>
      <c r="I14" s="6">
        <v>87.5</v>
      </c>
    </row>
    <row r="15" spans="1:9" x14ac:dyDescent="0.35">
      <c r="A15" s="2">
        <v>126082</v>
      </c>
      <c r="B15" s="3" t="s">
        <v>28</v>
      </c>
      <c r="C15" s="2" t="s">
        <v>6</v>
      </c>
      <c r="D15" s="4" t="s">
        <v>16</v>
      </c>
      <c r="E15" s="5" t="s">
        <v>17</v>
      </c>
      <c r="F15" s="6">
        <f>SUMIF('MS SAP Dump'!$F$2:$F$603,$A15,'MS SAP Dump'!$D$2:$D$603)</f>
        <v>0</v>
      </c>
      <c r="G15" s="6">
        <v>0</v>
      </c>
      <c r="H15" s="6">
        <f>SUMIF('HSD SAP Dump'!$F$2:$F$602,$A15,'HSD SAP Dump'!$D$2:$D$602)</f>
        <v>0</v>
      </c>
      <c r="I15" s="6">
        <v>0</v>
      </c>
    </row>
    <row r="16" spans="1:9" x14ac:dyDescent="0.35">
      <c r="A16" s="2">
        <v>126085</v>
      </c>
      <c r="B16" s="3" t="s">
        <v>29</v>
      </c>
      <c r="C16" s="2" t="s">
        <v>6</v>
      </c>
      <c r="D16" s="4" t="s">
        <v>16</v>
      </c>
      <c r="E16" s="5" t="s">
        <v>17</v>
      </c>
      <c r="F16" s="6">
        <f>SUMIF('MS SAP Dump'!$F$2:$F$603,$A16,'MS SAP Dump'!$D$2:$D$603)</f>
        <v>59.5</v>
      </c>
      <c r="G16" s="6">
        <v>56</v>
      </c>
      <c r="H16" s="6">
        <f>SUMIF('HSD SAP Dump'!$F$2:$F$602,$A16,'HSD SAP Dump'!$D$2:$D$602)</f>
        <v>66.5</v>
      </c>
      <c r="I16" s="6">
        <v>56</v>
      </c>
    </row>
    <row r="17" spans="1:9" x14ac:dyDescent="0.35">
      <c r="A17" s="2">
        <v>126087</v>
      </c>
      <c r="B17" s="3" t="s">
        <v>30</v>
      </c>
      <c r="C17" s="2" t="s">
        <v>6</v>
      </c>
      <c r="D17" s="4" t="s">
        <v>26</v>
      </c>
      <c r="E17" s="5" t="s">
        <v>17</v>
      </c>
      <c r="F17" s="6">
        <f>SUMIF('MS SAP Dump'!$F$2:$F$603,$A17,'MS SAP Dump'!$D$2:$D$603)</f>
        <v>55</v>
      </c>
      <c r="G17" s="6">
        <v>91</v>
      </c>
      <c r="H17" s="6">
        <f>SUMIF('HSD SAP Dump'!$F$2:$F$602,$A17,'HSD SAP Dump'!$D$2:$D$602)</f>
        <v>87</v>
      </c>
      <c r="I17" s="6">
        <v>91</v>
      </c>
    </row>
    <row r="18" spans="1:9" x14ac:dyDescent="0.35">
      <c r="A18" s="2">
        <v>126091</v>
      </c>
      <c r="B18" s="3" t="s">
        <v>31</v>
      </c>
      <c r="C18" s="2" t="s">
        <v>6</v>
      </c>
      <c r="D18" s="4" t="s">
        <v>26</v>
      </c>
      <c r="E18" s="5" t="s">
        <v>17</v>
      </c>
      <c r="F18" s="6">
        <f>SUMIF('MS SAP Dump'!$F$2:$F$603,$A18,'MS SAP Dump'!$D$2:$D$603)</f>
        <v>93</v>
      </c>
      <c r="G18" s="6">
        <v>83</v>
      </c>
      <c r="H18" s="6">
        <f>SUMIF('HSD SAP Dump'!$F$2:$F$602,$A18,'HSD SAP Dump'!$D$2:$D$602)</f>
        <v>87</v>
      </c>
      <c r="I18" s="6">
        <v>83</v>
      </c>
    </row>
    <row r="19" spans="1:9" x14ac:dyDescent="0.35">
      <c r="A19" s="2">
        <v>126097</v>
      </c>
      <c r="B19" s="3" t="s">
        <v>32</v>
      </c>
      <c r="C19" s="2" t="s">
        <v>6</v>
      </c>
      <c r="D19" s="4" t="s">
        <v>19</v>
      </c>
      <c r="E19" s="5" t="s">
        <v>17</v>
      </c>
      <c r="F19" s="6">
        <f>SUMIF('MS SAP Dump'!$F$2:$F$603,$A19,'MS SAP Dump'!$D$2:$D$603)</f>
        <v>35</v>
      </c>
      <c r="G19" s="6">
        <v>67</v>
      </c>
      <c r="H19" s="6">
        <f>SUMIF('HSD SAP Dump'!$F$2:$F$602,$A19,'HSD SAP Dump'!$D$2:$D$602)</f>
        <v>93</v>
      </c>
      <c r="I19" s="6">
        <v>67</v>
      </c>
    </row>
    <row r="20" spans="1:9" x14ac:dyDescent="0.35">
      <c r="A20" s="2">
        <v>126098</v>
      </c>
      <c r="B20" s="3" t="s">
        <v>33</v>
      </c>
      <c r="C20" s="2" t="s">
        <v>6</v>
      </c>
      <c r="D20" s="4" t="s">
        <v>19</v>
      </c>
      <c r="E20" s="5" t="s">
        <v>17</v>
      </c>
      <c r="F20" s="6">
        <f>SUMIF('MS SAP Dump'!$F$2:$F$603,$A20,'MS SAP Dump'!$D$2:$D$603)</f>
        <v>20</v>
      </c>
      <c r="G20" s="6">
        <v>51</v>
      </c>
      <c r="H20" s="6">
        <f>SUMIF('HSD SAP Dump'!$F$2:$F$602,$A20,'HSD SAP Dump'!$D$2:$D$602)</f>
        <v>56</v>
      </c>
      <c r="I20" s="6">
        <v>51</v>
      </c>
    </row>
    <row r="21" spans="1:9" x14ac:dyDescent="0.35">
      <c r="A21" s="2">
        <v>126099</v>
      </c>
      <c r="B21" s="3" t="s">
        <v>34</v>
      </c>
      <c r="C21" s="2" t="s">
        <v>6</v>
      </c>
      <c r="D21" s="4" t="s">
        <v>19</v>
      </c>
      <c r="E21" s="5" t="s">
        <v>17</v>
      </c>
      <c r="F21" s="6">
        <f>SUMIF('MS SAP Dump'!$F$2:$F$603,$A21,'MS SAP Dump'!$D$2:$D$603)</f>
        <v>0</v>
      </c>
      <c r="G21" s="6">
        <v>20</v>
      </c>
      <c r="H21" s="6">
        <f>SUMIF('HSD SAP Dump'!$F$2:$F$602,$A21,'HSD SAP Dump'!$D$2:$D$602)</f>
        <v>36</v>
      </c>
      <c r="I21" s="6">
        <v>20</v>
      </c>
    </row>
    <row r="22" spans="1:9" x14ac:dyDescent="0.35">
      <c r="A22" s="2">
        <v>126101</v>
      </c>
      <c r="B22" s="3" t="s">
        <v>35</v>
      </c>
      <c r="C22" s="2" t="s">
        <v>6</v>
      </c>
      <c r="D22" s="4" t="s">
        <v>19</v>
      </c>
      <c r="E22" s="5" t="s">
        <v>17</v>
      </c>
      <c r="F22" s="6">
        <f>SUMIF('MS SAP Dump'!$F$2:$F$603,$A22,'MS SAP Dump'!$D$2:$D$603)</f>
        <v>0</v>
      </c>
      <c r="G22" s="6">
        <v>0</v>
      </c>
      <c r="H22" s="6">
        <f>SUMIF('HSD SAP Dump'!$F$2:$F$602,$A22,'HSD SAP Dump'!$D$2:$D$602)</f>
        <v>0</v>
      </c>
      <c r="I22" s="6">
        <v>0</v>
      </c>
    </row>
    <row r="23" spans="1:9" x14ac:dyDescent="0.35">
      <c r="A23" s="2">
        <v>126108</v>
      </c>
      <c r="B23" s="3" t="s">
        <v>36</v>
      </c>
      <c r="C23" s="2" t="s">
        <v>6</v>
      </c>
      <c r="D23" s="4" t="s">
        <v>26</v>
      </c>
      <c r="E23" s="5" t="s">
        <v>17</v>
      </c>
      <c r="F23" s="6">
        <f>SUMIF('MS SAP Dump'!$F$2:$F$603,$A23,'MS SAP Dump'!$D$2:$D$603)</f>
        <v>15</v>
      </c>
      <c r="G23" s="6">
        <v>39</v>
      </c>
      <c r="H23" s="6">
        <f>SUMIF('HSD SAP Dump'!$F$2:$F$602,$A23,'HSD SAP Dump'!$D$2:$D$602)</f>
        <v>21</v>
      </c>
      <c r="I23" s="6">
        <v>39</v>
      </c>
    </row>
    <row r="24" spans="1:9" x14ac:dyDescent="0.35">
      <c r="A24" s="2">
        <v>126113</v>
      </c>
      <c r="B24" s="3" t="s">
        <v>37</v>
      </c>
      <c r="C24" s="2" t="s">
        <v>6</v>
      </c>
      <c r="D24" s="4" t="s">
        <v>19</v>
      </c>
      <c r="E24" s="5" t="s">
        <v>17</v>
      </c>
      <c r="F24" s="6">
        <f>SUMIF('MS SAP Dump'!$F$2:$F$603,$A24,'MS SAP Dump'!$D$2:$D$603)</f>
        <v>63.5</v>
      </c>
      <c r="G24" s="6">
        <v>160</v>
      </c>
      <c r="H24" s="6">
        <f>SUMIF('HSD SAP Dump'!$F$2:$F$602,$A24,'HSD SAP Dump'!$D$2:$D$602)</f>
        <v>152.5</v>
      </c>
      <c r="I24" s="6">
        <v>160</v>
      </c>
    </row>
    <row r="25" spans="1:9" x14ac:dyDescent="0.35">
      <c r="A25" s="2">
        <v>126133</v>
      </c>
      <c r="B25" s="3" t="s">
        <v>38</v>
      </c>
      <c r="C25" s="2" t="s">
        <v>6</v>
      </c>
      <c r="D25" s="4" t="s">
        <v>39</v>
      </c>
      <c r="E25" s="5" t="s">
        <v>40</v>
      </c>
      <c r="F25" s="6">
        <f>SUMIF('MS SAP Dump'!$F$2:$F$603,$A25,'MS SAP Dump'!$D$2:$D$603)</f>
        <v>38.5</v>
      </c>
      <c r="G25" s="6">
        <v>84</v>
      </c>
      <c r="H25" s="6">
        <f>SUMIF('HSD SAP Dump'!$F$2:$F$602,$A25,'HSD SAP Dump'!$D$2:$D$602)</f>
        <v>73.5</v>
      </c>
      <c r="I25" s="6">
        <v>84</v>
      </c>
    </row>
    <row r="26" spans="1:9" x14ac:dyDescent="0.35">
      <c r="A26" s="2">
        <v>126136</v>
      </c>
      <c r="B26" s="3" t="s">
        <v>41</v>
      </c>
      <c r="C26" s="2" t="s">
        <v>6</v>
      </c>
      <c r="D26" s="4" t="s">
        <v>39</v>
      </c>
      <c r="E26" s="5" t="s">
        <v>40</v>
      </c>
      <c r="F26" s="6">
        <f>SUMIF('MS SAP Dump'!$F$2:$F$603,$A26,'MS SAP Dump'!$D$2:$D$603)</f>
        <v>79.5</v>
      </c>
      <c r="G26" s="6">
        <v>81</v>
      </c>
      <c r="H26" s="6">
        <f>SUMIF('HSD SAP Dump'!$F$2:$F$602,$A26,'HSD SAP Dump'!$D$2:$D$602)</f>
        <v>114.5</v>
      </c>
      <c r="I26" s="6">
        <v>81</v>
      </c>
    </row>
    <row r="27" spans="1:9" x14ac:dyDescent="0.35">
      <c r="A27" s="2">
        <v>126149</v>
      </c>
      <c r="B27" s="3" t="s">
        <v>42</v>
      </c>
      <c r="C27" s="2" t="s">
        <v>6</v>
      </c>
      <c r="D27" s="4" t="s">
        <v>39</v>
      </c>
      <c r="E27" s="5" t="s">
        <v>40</v>
      </c>
      <c r="F27" s="6">
        <f>SUMIF('MS SAP Dump'!$F$2:$F$603,$A27,'MS SAP Dump'!$D$2:$D$603)</f>
        <v>81</v>
      </c>
      <c r="G27" s="6">
        <v>117</v>
      </c>
      <c r="H27" s="6">
        <f>SUMIF('HSD SAP Dump'!$F$2:$F$602,$A27,'HSD SAP Dump'!$D$2:$D$602)</f>
        <v>117</v>
      </c>
      <c r="I27" s="6">
        <v>117</v>
      </c>
    </row>
    <row r="28" spans="1:9" x14ac:dyDescent="0.35">
      <c r="A28" s="2">
        <v>126161</v>
      </c>
      <c r="B28" s="3" t="s">
        <v>43</v>
      </c>
      <c r="C28" s="2" t="s">
        <v>6</v>
      </c>
      <c r="D28" s="4" t="s">
        <v>44</v>
      </c>
      <c r="E28" s="5" t="s">
        <v>40</v>
      </c>
      <c r="F28" s="6">
        <f>SUMIF('MS SAP Dump'!$F$2:$F$603,$A28,'MS SAP Dump'!$D$2:$D$603)</f>
        <v>40.5</v>
      </c>
      <c r="G28" s="6">
        <v>45</v>
      </c>
      <c r="H28" s="6">
        <f>SUMIF('HSD SAP Dump'!$F$2:$F$602,$A28,'HSD SAP Dump'!$D$2:$D$602)</f>
        <v>47.5</v>
      </c>
      <c r="I28" s="6">
        <v>45</v>
      </c>
    </row>
    <row r="29" spans="1:9" x14ac:dyDescent="0.35">
      <c r="A29" s="2">
        <v>126187</v>
      </c>
      <c r="B29" s="3" t="s">
        <v>45</v>
      </c>
      <c r="C29" s="2" t="s">
        <v>6</v>
      </c>
      <c r="D29" s="4" t="s">
        <v>39</v>
      </c>
      <c r="E29" s="5" t="s">
        <v>40</v>
      </c>
      <c r="F29" s="6">
        <f>SUMIF('MS SAP Dump'!$F$2:$F$603,$A29,'MS SAP Dump'!$D$2:$D$603)</f>
        <v>55</v>
      </c>
      <c r="G29" s="6">
        <v>85</v>
      </c>
      <c r="H29" s="6">
        <f>SUMIF('HSD SAP Dump'!$F$2:$F$602,$A29,'HSD SAP Dump'!$D$2:$D$602)</f>
        <v>99</v>
      </c>
      <c r="I29" s="6">
        <v>85</v>
      </c>
    </row>
    <row r="30" spans="1:9" x14ac:dyDescent="0.35">
      <c r="A30" s="2">
        <v>126293</v>
      </c>
      <c r="B30" s="3" t="s">
        <v>46</v>
      </c>
      <c r="C30" s="2" t="s">
        <v>6</v>
      </c>
      <c r="D30" s="4" t="s">
        <v>47</v>
      </c>
      <c r="E30" s="5" t="s">
        <v>8</v>
      </c>
      <c r="F30" s="6">
        <f>SUMIF('MS SAP Dump'!$F$2:$F$603,$A30,'MS SAP Dump'!$D$2:$D$603)</f>
        <v>91</v>
      </c>
      <c r="G30" s="6">
        <v>72</v>
      </c>
      <c r="H30" s="6">
        <f>SUMIF('HSD SAP Dump'!$F$2:$F$602,$A30,'HSD SAP Dump'!$D$2:$D$602)</f>
        <v>101</v>
      </c>
      <c r="I30" s="6">
        <v>72</v>
      </c>
    </row>
    <row r="31" spans="1:9" x14ac:dyDescent="0.35">
      <c r="A31" s="2">
        <v>126295</v>
      </c>
      <c r="B31" s="3" t="s">
        <v>48</v>
      </c>
      <c r="C31" s="2" t="s">
        <v>6</v>
      </c>
      <c r="D31" s="4" t="s">
        <v>12</v>
      </c>
      <c r="E31" s="5" t="s">
        <v>8</v>
      </c>
      <c r="F31" s="6">
        <f>SUMIF('MS SAP Dump'!$F$2:$F$603,$A31,'MS SAP Dump'!$D$2:$D$603)</f>
        <v>123</v>
      </c>
      <c r="G31" s="6">
        <v>24</v>
      </c>
      <c r="H31" s="6">
        <f>SUMIF('HSD SAP Dump'!$F$2:$F$602,$A31,'HSD SAP Dump'!$D$2:$D$602)</f>
        <v>41</v>
      </c>
      <c r="I31" s="6">
        <v>24</v>
      </c>
    </row>
    <row r="32" spans="1:9" x14ac:dyDescent="0.35">
      <c r="A32" s="2">
        <v>126297</v>
      </c>
      <c r="B32" s="3" t="s">
        <v>49</v>
      </c>
      <c r="C32" s="2" t="s">
        <v>6</v>
      </c>
      <c r="D32" s="4" t="s">
        <v>12</v>
      </c>
      <c r="E32" s="5" t="s">
        <v>8</v>
      </c>
      <c r="F32" s="6">
        <f>SUMIF('MS SAP Dump'!$F$2:$F$603,$A32,'MS SAP Dump'!$D$2:$D$603)</f>
        <v>227</v>
      </c>
      <c r="G32" s="6">
        <v>241</v>
      </c>
      <c r="H32" s="6">
        <f>SUMIF('HSD SAP Dump'!$F$2:$F$602,$A32,'HSD SAP Dump'!$D$2:$D$602)</f>
        <v>149</v>
      </c>
      <c r="I32" s="6">
        <v>241</v>
      </c>
    </row>
    <row r="33" spans="1:9" x14ac:dyDescent="0.35">
      <c r="A33" s="2">
        <v>126301</v>
      </c>
      <c r="B33" s="3" t="s">
        <v>50</v>
      </c>
      <c r="C33" s="2" t="s">
        <v>6</v>
      </c>
      <c r="D33" s="4" t="s">
        <v>7</v>
      </c>
      <c r="E33" s="5" t="s">
        <v>8</v>
      </c>
      <c r="F33" s="6">
        <f>SUMIF('MS SAP Dump'!$F$2:$F$603,$A33,'MS SAP Dump'!$D$2:$D$603)</f>
        <v>185</v>
      </c>
      <c r="G33" s="6">
        <v>193</v>
      </c>
      <c r="H33" s="6">
        <f>SUMIF('HSD SAP Dump'!$F$2:$F$602,$A33,'HSD SAP Dump'!$D$2:$D$602)</f>
        <v>235</v>
      </c>
      <c r="I33" s="6">
        <v>193</v>
      </c>
    </row>
    <row r="34" spans="1:9" x14ac:dyDescent="0.35">
      <c r="A34" s="2">
        <v>126303</v>
      </c>
      <c r="B34" s="3" t="s">
        <v>51</v>
      </c>
      <c r="C34" s="2" t="s">
        <v>6</v>
      </c>
      <c r="D34" s="4" t="s">
        <v>52</v>
      </c>
      <c r="E34" s="5" t="s">
        <v>8</v>
      </c>
      <c r="F34" s="6">
        <f>SUMIF('MS SAP Dump'!$F$2:$F$603,$A34,'MS SAP Dump'!$D$2:$D$603)</f>
        <v>30</v>
      </c>
      <c r="G34" s="6">
        <v>70</v>
      </c>
      <c r="H34" s="6">
        <f>SUMIF('HSD SAP Dump'!$F$2:$F$602,$A34,'HSD SAP Dump'!$D$2:$D$602)</f>
        <v>60</v>
      </c>
      <c r="I34" s="6">
        <v>70</v>
      </c>
    </row>
    <row r="35" spans="1:9" x14ac:dyDescent="0.35">
      <c r="A35" s="2">
        <v>126305</v>
      </c>
      <c r="B35" s="3" t="s">
        <v>53</v>
      </c>
      <c r="C35" s="2" t="s">
        <v>6</v>
      </c>
      <c r="D35" s="4" t="s">
        <v>12</v>
      </c>
      <c r="E35" s="5" t="s">
        <v>8</v>
      </c>
      <c r="F35" s="6">
        <f>SUMIF('MS SAP Dump'!$F$2:$F$603,$A35,'MS SAP Dump'!$D$2:$D$603)</f>
        <v>227</v>
      </c>
      <c r="G35" s="6">
        <v>39</v>
      </c>
      <c r="H35" s="6">
        <f>SUMIF('HSD SAP Dump'!$F$2:$F$602,$A35,'HSD SAP Dump'!$D$2:$D$602)</f>
        <v>45</v>
      </c>
      <c r="I35" s="6">
        <v>39</v>
      </c>
    </row>
    <row r="36" spans="1:9" x14ac:dyDescent="0.35">
      <c r="A36" s="2">
        <v>126308</v>
      </c>
      <c r="B36" s="3" t="s">
        <v>54</v>
      </c>
      <c r="C36" s="2" t="s">
        <v>6</v>
      </c>
      <c r="D36" s="4" t="s">
        <v>47</v>
      </c>
      <c r="E36" s="5" t="s">
        <v>8</v>
      </c>
      <c r="F36" s="6">
        <f>SUMIF('MS SAP Dump'!$F$2:$F$603,$A36,'MS SAP Dump'!$D$2:$D$603)</f>
        <v>12</v>
      </c>
      <c r="G36" s="6">
        <v>21</v>
      </c>
      <c r="H36" s="6">
        <f>SUMIF('HSD SAP Dump'!$F$2:$F$602,$A36,'HSD SAP Dump'!$D$2:$D$602)</f>
        <v>60</v>
      </c>
      <c r="I36" s="6">
        <v>21</v>
      </c>
    </row>
    <row r="37" spans="1:9" x14ac:dyDescent="0.35">
      <c r="A37" s="2">
        <v>126310</v>
      </c>
      <c r="B37" s="3" t="s">
        <v>55</v>
      </c>
      <c r="C37" s="2" t="s">
        <v>6</v>
      </c>
      <c r="D37" s="4" t="s">
        <v>39</v>
      </c>
      <c r="E37" s="5" t="s">
        <v>40</v>
      </c>
      <c r="F37" s="6">
        <f>SUMIF('MS SAP Dump'!$F$2:$F$603,$A37,'MS SAP Dump'!$D$2:$D$603)</f>
        <v>165</v>
      </c>
      <c r="G37" s="6">
        <v>285</v>
      </c>
      <c r="H37" s="6">
        <f>SUMIF('HSD SAP Dump'!$F$2:$F$602,$A37,'HSD SAP Dump'!$D$2:$D$602)</f>
        <v>215</v>
      </c>
      <c r="I37" s="6">
        <v>285</v>
      </c>
    </row>
    <row r="38" spans="1:9" x14ac:dyDescent="0.35">
      <c r="A38" s="2">
        <v>126311</v>
      </c>
      <c r="B38" s="3" t="s">
        <v>56</v>
      </c>
      <c r="C38" s="2" t="s">
        <v>6</v>
      </c>
      <c r="D38" s="4" t="s">
        <v>44</v>
      </c>
      <c r="E38" s="5" t="s">
        <v>40</v>
      </c>
      <c r="F38" s="6">
        <f>SUMIF('MS SAP Dump'!$F$2:$F$603,$A38,'MS SAP Dump'!$D$2:$D$603)</f>
        <v>191</v>
      </c>
      <c r="G38" s="6">
        <v>215</v>
      </c>
      <c r="H38" s="6">
        <f>SUMIF('HSD SAP Dump'!$F$2:$F$602,$A38,'HSD SAP Dump'!$D$2:$D$602)</f>
        <v>213</v>
      </c>
      <c r="I38" s="6">
        <v>215</v>
      </c>
    </row>
    <row r="39" spans="1:9" x14ac:dyDescent="0.35">
      <c r="A39" s="2">
        <v>126312</v>
      </c>
      <c r="B39" s="3" t="s">
        <v>57</v>
      </c>
      <c r="C39" s="2" t="s">
        <v>6</v>
      </c>
      <c r="D39" s="4" t="s">
        <v>19</v>
      </c>
      <c r="E39" s="5" t="s">
        <v>17</v>
      </c>
      <c r="F39" s="6">
        <f>SUMIF('MS SAP Dump'!$F$2:$F$603,$A39,'MS SAP Dump'!$D$2:$D$603)</f>
        <v>0</v>
      </c>
      <c r="G39" s="6">
        <v>0</v>
      </c>
      <c r="H39" s="6">
        <f>SUMIF('HSD SAP Dump'!$F$2:$F$602,$A39,'HSD SAP Dump'!$D$2:$D$602)</f>
        <v>0</v>
      </c>
      <c r="I39" s="6">
        <v>0</v>
      </c>
    </row>
    <row r="40" spans="1:9" x14ac:dyDescent="0.35">
      <c r="A40" s="2">
        <v>126314</v>
      </c>
      <c r="B40" s="3" t="s">
        <v>58</v>
      </c>
      <c r="C40" s="2" t="s">
        <v>6</v>
      </c>
      <c r="D40" s="4" t="s">
        <v>47</v>
      </c>
      <c r="E40" s="5" t="s">
        <v>8</v>
      </c>
      <c r="F40" s="6">
        <f>SUMIF('MS SAP Dump'!$F$2:$F$603,$A40,'MS SAP Dump'!$D$2:$D$603)</f>
        <v>9</v>
      </c>
      <c r="G40" s="6">
        <v>54</v>
      </c>
      <c r="H40" s="6">
        <f>SUMIF('HSD SAP Dump'!$F$2:$F$602,$A40,'HSD SAP Dump'!$D$2:$D$602)</f>
        <v>51</v>
      </c>
      <c r="I40" s="6">
        <v>54</v>
      </c>
    </row>
    <row r="41" spans="1:9" x14ac:dyDescent="0.35">
      <c r="A41" s="2">
        <v>126320</v>
      </c>
      <c r="B41" s="3" t="s">
        <v>59</v>
      </c>
      <c r="C41" s="2" t="s">
        <v>6</v>
      </c>
      <c r="D41" s="4" t="s">
        <v>16</v>
      </c>
      <c r="E41" s="5" t="s">
        <v>17</v>
      </c>
      <c r="F41" s="6">
        <f>SUMIF('MS SAP Dump'!$F$2:$F$603,$A41,'MS SAP Dump'!$D$2:$D$603)</f>
        <v>0</v>
      </c>
      <c r="G41" s="6">
        <v>0</v>
      </c>
      <c r="H41" s="6">
        <f>SUMIF('HSD SAP Dump'!$F$2:$F$602,$A41,'HSD SAP Dump'!$D$2:$D$602)</f>
        <v>0</v>
      </c>
      <c r="I41" s="6">
        <v>0</v>
      </c>
    </row>
    <row r="42" spans="1:9" x14ac:dyDescent="0.35">
      <c r="A42" s="2">
        <v>126322</v>
      </c>
      <c r="B42" s="3" t="s">
        <v>60</v>
      </c>
      <c r="C42" s="2" t="s">
        <v>6</v>
      </c>
      <c r="D42" s="4" t="s">
        <v>10</v>
      </c>
      <c r="E42" s="5" t="s">
        <v>8</v>
      </c>
      <c r="F42" s="6">
        <f>SUMIF('MS SAP Dump'!$F$2:$F$603,$A42,'MS SAP Dump'!$D$2:$D$603)</f>
        <v>129</v>
      </c>
      <c r="G42" s="6">
        <v>141</v>
      </c>
      <c r="H42" s="6">
        <f>SUMIF('HSD SAP Dump'!$F$2:$F$602,$A42,'HSD SAP Dump'!$D$2:$D$602)</f>
        <v>135</v>
      </c>
      <c r="I42" s="6">
        <v>141</v>
      </c>
    </row>
    <row r="43" spans="1:9" x14ac:dyDescent="0.35">
      <c r="A43" s="2">
        <v>126325</v>
      </c>
      <c r="B43" s="3" t="s">
        <v>61</v>
      </c>
      <c r="C43" s="2" t="s">
        <v>6</v>
      </c>
      <c r="D43" s="4" t="s">
        <v>52</v>
      </c>
      <c r="E43" s="5" t="s">
        <v>8</v>
      </c>
      <c r="F43" s="6">
        <f>SUMIF('MS SAP Dump'!$F$2:$F$603,$A43,'MS SAP Dump'!$D$2:$D$603)</f>
        <v>85.5</v>
      </c>
      <c r="G43" s="6">
        <v>172.5</v>
      </c>
      <c r="H43" s="6">
        <f>SUMIF('HSD SAP Dump'!$F$2:$F$602,$A43,'HSD SAP Dump'!$D$2:$D$602)</f>
        <v>148.5</v>
      </c>
      <c r="I43" s="6">
        <v>172.5</v>
      </c>
    </row>
    <row r="44" spans="1:9" x14ac:dyDescent="0.35">
      <c r="A44" s="2">
        <v>126326</v>
      </c>
      <c r="B44" s="3" t="s">
        <v>62</v>
      </c>
      <c r="C44" s="2" t="s">
        <v>6</v>
      </c>
      <c r="D44" s="4" t="s">
        <v>44</v>
      </c>
      <c r="E44" s="5" t="s">
        <v>40</v>
      </c>
      <c r="F44" s="6">
        <f>SUMIF('MS SAP Dump'!$F$2:$F$603,$A44,'MS SAP Dump'!$D$2:$D$603)</f>
        <v>18</v>
      </c>
      <c r="G44" s="6">
        <v>39</v>
      </c>
      <c r="H44" s="6">
        <f>SUMIF('HSD SAP Dump'!$F$2:$F$602,$A44,'HSD SAP Dump'!$D$2:$D$602)</f>
        <v>18</v>
      </c>
      <c r="I44" s="6">
        <v>39</v>
      </c>
    </row>
    <row r="45" spans="1:9" x14ac:dyDescent="0.35">
      <c r="A45" s="2">
        <v>126328</v>
      </c>
      <c r="B45" s="3" t="s">
        <v>63</v>
      </c>
      <c r="C45" s="2" t="s">
        <v>6</v>
      </c>
      <c r="D45" s="4" t="s">
        <v>12</v>
      </c>
      <c r="E45" s="5" t="s">
        <v>8</v>
      </c>
      <c r="F45" s="6">
        <f>SUMIF('MS SAP Dump'!$F$2:$F$603,$A45,'MS SAP Dump'!$D$2:$D$603)</f>
        <v>201</v>
      </c>
      <c r="G45" s="6">
        <v>87</v>
      </c>
      <c r="H45" s="6">
        <f>SUMIF('HSD SAP Dump'!$F$2:$F$602,$A45,'HSD SAP Dump'!$D$2:$D$602)</f>
        <v>123</v>
      </c>
      <c r="I45" s="6">
        <v>87</v>
      </c>
    </row>
    <row r="46" spans="1:9" x14ac:dyDescent="0.35">
      <c r="A46" s="2">
        <v>126329</v>
      </c>
      <c r="B46" s="3" t="s">
        <v>64</v>
      </c>
      <c r="C46" s="2" t="s">
        <v>6</v>
      </c>
      <c r="D46" s="5" t="s">
        <v>14</v>
      </c>
      <c r="E46" s="5" t="s">
        <v>8</v>
      </c>
      <c r="F46" s="6">
        <f>SUMIF('MS SAP Dump'!$F$2:$F$603,$A46,'MS SAP Dump'!$D$2:$D$603)</f>
        <v>27</v>
      </c>
      <c r="G46" s="6">
        <v>39</v>
      </c>
      <c r="H46" s="6">
        <f>SUMIF('HSD SAP Dump'!$F$2:$F$602,$A46,'HSD SAP Dump'!$D$2:$D$602)</f>
        <v>39</v>
      </c>
      <c r="I46" s="6">
        <v>39</v>
      </c>
    </row>
    <row r="47" spans="1:9" x14ac:dyDescent="0.35">
      <c r="A47" s="2">
        <v>126332</v>
      </c>
      <c r="B47" s="3" t="s">
        <v>65</v>
      </c>
      <c r="C47" s="2" t="s">
        <v>6</v>
      </c>
      <c r="D47" s="4" t="s">
        <v>47</v>
      </c>
      <c r="E47" s="5" t="s">
        <v>8</v>
      </c>
      <c r="F47" s="6">
        <f>SUMIF('MS SAP Dump'!$F$2:$F$603,$A47,'MS SAP Dump'!$D$2:$D$603)</f>
        <v>18</v>
      </c>
      <c r="G47" s="6">
        <v>54</v>
      </c>
      <c r="H47" s="6">
        <f>SUMIF('HSD SAP Dump'!$F$2:$F$602,$A47,'HSD SAP Dump'!$D$2:$D$602)</f>
        <v>78</v>
      </c>
      <c r="I47" s="6">
        <v>54</v>
      </c>
    </row>
    <row r="48" spans="1:9" x14ac:dyDescent="0.35">
      <c r="A48" s="2">
        <v>126335</v>
      </c>
      <c r="B48" s="3" t="s">
        <v>66</v>
      </c>
      <c r="C48" s="2" t="s">
        <v>6</v>
      </c>
      <c r="D48" s="4" t="s">
        <v>52</v>
      </c>
      <c r="E48" s="5" t="s">
        <v>8</v>
      </c>
      <c r="F48" s="6">
        <f>SUMIF('MS SAP Dump'!$F$2:$F$603,$A48,'MS SAP Dump'!$D$2:$D$603)</f>
        <v>40</v>
      </c>
      <c r="G48" s="6">
        <v>155</v>
      </c>
      <c r="H48" s="6">
        <f>SUMIF('HSD SAP Dump'!$F$2:$F$602,$A48,'HSD SAP Dump'!$D$2:$D$602)</f>
        <v>150</v>
      </c>
      <c r="I48" s="6">
        <v>155</v>
      </c>
    </row>
    <row r="49" spans="1:9" x14ac:dyDescent="0.35">
      <c r="A49" s="2">
        <v>126336</v>
      </c>
      <c r="B49" s="3" t="s">
        <v>67</v>
      </c>
      <c r="C49" s="2" t="s">
        <v>6</v>
      </c>
      <c r="D49" s="4" t="s">
        <v>12</v>
      </c>
      <c r="E49" s="5" t="s">
        <v>8</v>
      </c>
      <c r="F49" s="6">
        <f>SUMIF('MS SAP Dump'!$F$2:$F$603,$A49,'MS SAP Dump'!$D$2:$D$603)</f>
        <v>269</v>
      </c>
      <c r="G49" s="6">
        <v>133.5</v>
      </c>
      <c r="H49" s="6">
        <f>SUMIF('HSD SAP Dump'!$F$2:$F$602,$A49,'HSD SAP Dump'!$D$2:$D$602)</f>
        <v>95</v>
      </c>
      <c r="I49" s="6">
        <v>133.5</v>
      </c>
    </row>
    <row r="50" spans="1:9" x14ac:dyDescent="0.35">
      <c r="A50" s="2">
        <v>126337</v>
      </c>
      <c r="B50" s="3" t="s">
        <v>68</v>
      </c>
      <c r="C50" s="2" t="s">
        <v>6</v>
      </c>
      <c r="D50" s="4" t="s">
        <v>26</v>
      </c>
      <c r="E50" s="5" t="s">
        <v>17</v>
      </c>
      <c r="F50" s="6">
        <f>SUMIF('MS SAP Dump'!$F$2:$F$603,$A50,'MS SAP Dump'!$D$2:$D$603)</f>
        <v>97</v>
      </c>
      <c r="G50" s="6">
        <v>148</v>
      </c>
      <c r="H50" s="6">
        <f>SUMIF('HSD SAP Dump'!$F$2:$F$602,$A50,'HSD SAP Dump'!$D$2:$D$602)</f>
        <v>179</v>
      </c>
      <c r="I50" s="6">
        <v>148</v>
      </c>
    </row>
    <row r="51" spans="1:9" x14ac:dyDescent="0.35">
      <c r="A51" s="2">
        <v>126338</v>
      </c>
      <c r="B51" s="3" t="s">
        <v>69</v>
      </c>
      <c r="C51" s="2" t="s">
        <v>6</v>
      </c>
      <c r="D51" s="4" t="s">
        <v>12</v>
      </c>
      <c r="E51" s="5" t="s">
        <v>8</v>
      </c>
      <c r="F51" s="6">
        <f>SUMIF('MS SAP Dump'!$F$2:$F$603,$A51,'MS SAP Dump'!$D$2:$D$603)</f>
        <v>136</v>
      </c>
      <c r="G51" s="6">
        <v>146</v>
      </c>
      <c r="H51" s="6">
        <f>SUMIF('HSD SAP Dump'!$F$2:$F$602,$A51,'HSD SAP Dump'!$D$2:$D$602)</f>
        <v>236</v>
      </c>
      <c r="I51" s="6">
        <v>146</v>
      </c>
    </row>
    <row r="52" spans="1:9" x14ac:dyDescent="0.35">
      <c r="A52" s="2">
        <v>126339</v>
      </c>
      <c r="B52" s="3" t="s">
        <v>70</v>
      </c>
      <c r="C52" s="2" t="s">
        <v>6</v>
      </c>
      <c r="D52" s="4" t="s">
        <v>14</v>
      </c>
      <c r="E52" s="5" t="s">
        <v>8</v>
      </c>
      <c r="F52" s="6">
        <f>SUMIF('MS SAP Dump'!$F$2:$F$603,$A52,'MS SAP Dump'!$D$2:$D$603)</f>
        <v>71</v>
      </c>
      <c r="G52" s="6">
        <v>292.5</v>
      </c>
      <c r="H52" s="6">
        <f>SUMIF('HSD SAP Dump'!$F$2:$F$602,$A52,'HSD SAP Dump'!$D$2:$D$602)</f>
        <v>291</v>
      </c>
      <c r="I52" s="6">
        <v>292.5</v>
      </c>
    </row>
    <row r="53" spans="1:9" x14ac:dyDescent="0.35">
      <c r="A53" s="2">
        <v>126340</v>
      </c>
      <c r="B53" s="3" t="s">
        <v>71</v>
      </c>
      <c r="C53" s="2" t="s">
        <v>6</v>
      </c>
      <c r="D53" s="4" t="s">
        <v>39</v>
      </c>
      <c r="E53" s="5" t="s">
        <v>40</v>
      </c>
      <c r="F53" s="6">
        <f>SUMIF('MS SAP Dump'!$F$2:$F$603,$A53,'MS SAP Dump'!$D$2:$D$603)</f>
        <v>363.5</v>
      </c>
      <c r="G53" s="6">
        <v>166.5</v>
      </c>
      <c r="H53" s="6">
        <f>SUMIF('HSD SAP Dump'!$F$2:$F$602,$A53,'HSD SAP Dump'!$D$2:$D$602)</f>
        <v>181.5</v>
      </c>
      <c r="I53" s="6">
        <v>166.5</v>
      </c>
    </row>
    <row r="54" spans="1:9" x14ac:dyDescent="0.35">
      <c r="A54" s="2">
        <v>126345</v>
      </c>
      <c r="B54" s="3" t="s">
        <v>72</v>
      </c>
      <c r="C54" s="2" t="s">
        <v>6</v>
      </c>
      <c r="D54" s="4" t="s">
        <v>44</v>
      </c>
      <c r="E54" s="5" t="s">
        <v>40</v>
      </c>
      <c r="F54" s="6">
        <f>SUMIF('MS SAP Dump'!$F$2:$F$603,$A54,'MS SAP Dump'!$D$2:$D$603)</f>
        <v>70.5</v>
      </c>
      <c r="G54" s="6">
        <v>78</v>
      </c>
      <c r="H54" s="6">
        <f>SUMIF('HSD SAP Dump'!$F$2:$F$602,$A54,'HSD SAP Dump'!$D$2:$D$602)</f>
        <v>163.5</v>
      </c>
      <c r="I54" s="6">
        <v>78</v>
      </c>
    </row>
    <row r="55" spans="1:9" x14ac:dyDescent="0.35">
      <c r="A55" s="2">
        <v>126347</v>
      </c>
      <c r="B55" s="3" t="s">
        <v>73</v>
      </c>
      <c r="C55" s="2" t="s">
        <v>6</v>
      </c>
      <c r="D55" s="4" t="s">
        <v>12</v>
      </c>
      <c r="E55" s="5" t="s">
        <v>8</v>
      </c>
      <c r="F55" s="6">
        <f>SUMIF('MS SAP Dump'!$F$2:$F$603,$A55,'MS SAP Dump'!$D$2:$D$603)</f>
        <v>340</v>
      </c>
      <c r="G55" s="6">
        <v>88</v>
      </c>
      <c r="H55" s="6">
        <f>SUMIF('HSD SAP Dump'!$F$2:$F$602,$A55,'HSD SAP Dump'!$D$2:$D$602)</f>
        <v>120</v>
      </c>
      <c r="I55" s="6">
        <v>88</v>
      </c>
    </row>
    <row r="56" spans="1:9" x14ac:dyDescent="0.35">
      <c r="A56" s="2">
        <v>126349</v>
      </c>
      <c r="B56" s="3" t="s">
        <v>74</v>
      </c>
      <c r="C56" s="2" t="s">
        <v>6</v>
      </c>
      <c r="D56" s="4" t="s">
        <v>47</v>
      </c>
      <c r="E56" s="5" t="s">
        <v>8</v>
      </c>
      <c r="F56" s="6">
        <f>SUMIF('MS SAP Dump'!$F$2:$F$603,$A56,'MS SAP Dump'!$D$2:$D$603)</f>
        <v>0</v>
      </c>
      <c r="G56" s="6">
        <v>21</v>
      </c>
      <c r="H56" s="6">
        <f>SUMIF('HSD SAP Dump'!$F$2:$F$602,$A56,'HSD SAP Dump'!$D$2:$D$602)</f>
        <v>0</v>
      </c>
      <c r="I56" s="6">
        <v>21</v>
      </c>
    </row>
    <row r="57" spans="1:9" x14ac:dyDescent="0.35">
      <c r="A57" s="2">
        <v>126350</v>
      </c>
      <c r="B57" s="3" t="s">
        <v>75</v>
      </c>
      <c r="C57" s="2" t="s">
        <v>6</v>
      </c>
      <c r="D57" s="4" t="s">
        <v>52</v>
      </c>
      <c r="E57" s="5" t="s">
        <v>8</v>
      </c>
      <c r="F57" s="6">
        <f>SUMIF('MS SAP Dump'!$F$2:$F$603,$A57,'MS SAP Dump'!$D$2:$D$603)</f>
        <v>50</v>
      </c>
      <c r="G57" s="6">
        <v>80</v>
      </c>
      <c r="H57" s="6">
        <f>SUMIF('HSD SAP Dump'!$F$2:$F$602,$A57,'HSD SAP Dump'!$D$2:$D$602)</f>
        <v>90</v>
      </c>
      <c r="I57" s="6">
        <v>80</v>
      </c>
    </row>
    <row r="58" spans="1:9" x14ac:dyDescent="0.35">
      <c r="A58" s="2">
        <v>126352</v>
      </c>
      <c r="B58" s="3" t="s">
        <v>76</v>
      </c>
      <c r="C58" s="2" t="s">
        <v>6</v>
      </c>
      <c r="D58" s="4" t="s">
        <v>12</v>
      </c>
      <c r="E58" s="5" t="s">
        <v>8</v>
      </c>
      <c r="F58" s="6">
        <f>SUMIF('MS SAP Dump'!$F$2:$F$603,$A58,'MS SAP Dump'!$D$2:$D$603)</f>
        <v>25</v>
      </c>
      <c r="G58" s="6">
        <v>0</v>
      </c>
      <c r="H58" s="6">
        <f>SUMIF('HSD SAP Dump'!$F$2:$F$602,$A58,'HSD SAP Dump'!$D$2:$D$602)</f>
        <v>0</v>
      </c>
      <c r="I58" s="6">
        <v>0</v>
      </c>
    </row>
    <row r="59" spans="1:9" x14ac:dyDescent="0.35">
      <c r="A59" s="2">
        <v>126353</v>
      </c>
      <c r="B59" s="3" t="s">
        <v>77</v>
      </c>
      <c r="C59" s="2" t="s">
        <v>6</v>
      </c>
      <c r="D59" s="4" t="s">
        <v>12</v>
      </c>
      <c r="E59" s="5" t="s">
        <v>8</v>
      </c>
      <c r="F59" s="6">
        <f>SUMIF('MS SAP Dump'!$F$2:$F$603,$A59,'MS SAP Dump'!$D$2:$D$603)</f>
        <v>185.5</v>
      </c>
      <c r="G59" s="6">
        <v>80</v>
      </c>
      <c r="H59" s="6">
        <f>SUMIF('HSD SAP Dump'!$F$2:$F$602,$A59,'HSD SAP Dump'!$D$2:$D$602)</f>
        <v>88.5</v>
      </c>
      <c r="I59" s="6">
        <v>80</v>
      </c>
    </row>
    <row r="60" spans="1:9" x14ac:dyDescent="0.35">
      <c r="A60" s="2">
        <v>126354</v>
      </c>
      <c r="B60" s="3" t="s">
        <v>78</v>
      </c>
      <c r="C60" s="2" t="s">
        <v>6</v>
      </c>
      <c r="D60" s="4" t="s">
        <v>19</v>
      </c>
      <c r="E60" s="5" t="s">
        <v>17</v>
      </c>
      <c r="F60" s="6">
        <f>SUMIF('MS SAP Dump'!$F$2:$F$603,$A60,'MS SAP Dump'!$D$2:$D$603)</f>
        <v>54</v>
      </c>
      <c r="G60" s="6">
        <v>103</v>
      </c>
      <c r="H60" s="6">
        <f>SUMIF('HSD SAP Dump'!$F$2:$F$602,$A60,'HSD SAP Dump'!$D$2:$D$602)</f>
        <v>54</v>
      </c>
      <c r="I60" s="6">
        <v>103</v>
      </c>
    </row>
    <row r="61" spans="1:9" x14ac:dyDescent="0.35">
      <c r="A61" s="2">
        <v>126355</v>
      </c>
      <c r="B61" s="3" t="s">
        <v>79</v>
      </c>
      <c r="C61" s="2" t="s">
        <v>6</v>
      </c>
      <c r="D61" s="4" t="s">
        <v>12</v>
      </c>
      <c r="E61" s="5" t="s">
        <v>8</v>
      </c>
      <c r="F61" s="6">
        <f>SUMIF('MS SAP Dump'!$F$2:$F$603,$A61,'MS SAP Dump'!$D$2:$D$603)</f>
        <v>237</v>
      </c>
      <c r="G61" s="6">
        <v>69</v>
      </c>
      <c r="H61" s="6">
        <f>SUMIF('HSD SAP Dump'!$F$2:$F$602,$A61,'HSD SAP Dump'!$D$2:$D$602)</f>
        <v>75</v>
      </c>
      <c r="I61" s="6">
        <v>69</v>
      </c>
    </row>
    <row r="62" spans="1:9" x14ac:dyDescent="0.35">
      <c r="A62" s="2">
        <v>126357</v>
      </c>
      <c r="B62" s="3" t="s">
        <v>80</v>
      </c>
      <c r="C62" s="2" t="s">
        <v>6</v>
      </c>
      <c r="D62" s="4" t="s">
        <v>19</v>
      </c>
      <c r="E62" s="5" t="s">
        <v>17</v>
      </c>
      <c r="F62" s="6">
        <f>SUMIF('MS SAP Dump'!$F$2:$F$603,$A62,'MS SAP Dump'!$D$2:$D$603)</f>
        <v>79</v>
      </c>
      <c r="G62" s="6">
        <v>83</v>
      </c>
      <c r="H62" s="6">
        <f>SUMIF('HSD SAP Dump'!$F$2:$F$602,$A62,'HSD SAP Dump'!$D$2:$D$602)</f>
        <v>75</v>
      </c>
      <c r="I62" s="6">
        <v>83</v>
      </c>
    </row>
    <row r="63" spans="1:9" x14ac:dyDescent="0.35">
      <c r="A63" s="2">
        <v>126358</v>
      </c>
      <c r="B63" s="3" t="s">
        <v>81</v>
      </c>
      <c r="C63" s="2" t="s">
        <v>6</v>
      </c>
      <c r="D63" s="4" t="s">
        <v>14</v>
      </c>
      <c r="E63" s="5" t="s">
        <v>8</v>
      </c>
      <c r="F63" s="6">
        <f>SUMIF('MS SAP Dump'!$F$2:$F$603,$A63,'MS SAP Dump'!$D$2:$D$603)</f>
        <v>59.5</v>
      </c>
      <c r="G63" s="6">
        <v>56</v>
      </c>
      <c r="H63" s="6">
        <f>SUMIF('HSD SAP Dump'!$F$2:$F$602,$A63,'HSD SAP Dump'!$D$2:$D$602)</f>
        <v>52.5</v>
      </c>
      <c r="I63" s="6">
        <v>56</v>
      </c>
    </row>
    <row r="64" spans="1:9" x14ac:dyDescent="0.35">
      <c r="A64" s="2">
        <v>126359</v>
      </c>
      <c r="B64" s="3" t="s">
        <v>82</v>
      </c>
      <c r="C64" s="2" t="s">
        <v>6</v>
      </c>
      <c r="D64" s="4" t="s">
        <v>12</v>
      </c>
      <c r="E64" s="5" t="s">
        <v>8</v>
      </c>
      <c r="F64" s="6">
        <f>SUMIF('MS SAP Dump'!$F$2:$F$603,$A64,'MS SAP Dump'!$D$2:$D$603)</f>
        <v>90</v>
      </c>
      <c r="G64" s="6">
        <v>96</v>
      </c>
      <c r="H64" s="6">
        <f>SUMIF('HSD SAP Dump'!$F$2:$F$602,$A64,'HSD SAP Dump'!$D$2:$D$602)</f>
        <v>30</v>
      </c>
      <c r="I64" s="6">
        <v>96</v>
      </c>
    </row>
    <row r="65" spans="1:9" x14ac:dyDescent="0.35">
      <c r="A65" s="2">
        <v>126361</v>
      </c>
      <c r="B65" s="3" t="s">
        <v>83</v>
      </c>
      <c r="C65" s="2" t="s">
        <v>6</v>
      </c>
      <c r="D65" s="4" t="s">
        <v>14</v>
      </c>
      <c r="E65" s="5" t="s">
        <v>8</v>
      </c>
      <c r="F65" s="6">
        <f>SUMIF('MS SAP Dump'!$F$2:$F$603,$A65,'MS SAP Dump'!$D$2:$D$603)</f>
        <v>66</v>
      </c>
      <c r="G65" s="6">
        <v>54</v>
      </c>
      <c r="H65" s="6">
        <f>SUMIF('HSD SAP Dump'!$F$2:$F$602,$A65,'HSD SAP Dump'!$D$2:$D$602)</f>
        <v>54</v>
      </c>
      <c r="I65" s="6">
        <v>54</v>
      </c>
    </row>
    <row r="66" spans="1:9" x14ac:dyDescent="0.35">
      <c r="A66" s="2">
        <v>126362</v>
      </c>
      <c r="B66" s="3" t="s">
        <v>84</v>
      </c>
      <c r="C66" s="2" t="s">
        <v>6</v>
      </c>
      <c r="D66" s="4" t="s">
        <v>10</v>
      </c>
      <c r="E66" s="5" t="s">
        <v>8</v>
      </c>
      <c r="F66" s="6">
        <f>SUMIF('MS SAP Dump'!$F$2:$F$603,$A66,'MS SAP Dump'!$D$2:$D$603)</f>
        <v>42</v>
      </c>
      <c r="G66" s="6">
        <v>59</v>
      </c>
      <c r="H66" s="6">
        <f>SUMIF('HSD SAP Dump'!$F$2:$F$602,$A66,'HSD SAP Dump'!$D$2:$D$602)</f>
        <v>78</v>
      </c>
      <c r="I66" s="6">
        <v>59</v>
      </c>
    </row>
    <row r="67" spans="1:9" x14ac:dyDescent="0.35">
      <c r="A67" s="2">
        <v>126365</v>
      </c>
      <c r="B67" s="3" t="s">
        <v>85</v>
      </c>
      <c r="C67" s="2" t="s">
        <v>6</v>
      </c>
      <c r="D67" s="4" t="s">
        <v>7</v>
      </c>
      <c r="E67" s="5" t="s">
        <v>8</v>
      </c>
      <c r="F67" s="6">
        <f>SUMIF('MS SAP Dump'!$F$2:$F$603,$A67,'MS SAP Dump'!$D$2:$D$603)</f>
        <v>9</v>
      </c>
      <c r="G67" s="6">
        <v>6</v>
      </c>
      <c r="H67" s="6">
        <f>SUMIF('HSD SAP Dump'!$F$2:$F$602,$A67,'HSD SAP Dump'!$D$2:$D$602)</f>
        <v>15</v>
      </c>
      <c r="I67" s="6">
        <v>6</v>
      </c>
    </row>
    <row r="68" spans="1:9" x14ac:dyDescent="0.35">
      <c r="A68" s="2">
        <v>126366</v>
      </c>
      <c r="B68" s="3" t="s">
        <v>86</v>
      </c>
      <c r="C68" s="2" t="s">
        <v>6</v>
      </c>
      <c r="D68" s="4" t="s">
        <v>14</v>
      </c>
      <c r="E68" s="5" t="s">
        <v>8</v>
      </c>
      <c r="F68" s="6">
        <f>SUMIF('MS SAP Dump'!$F$2:$F$603,$A68,'MS SAP Dump'!$D$2:$D$603)</f>
        <v>95</v>
      </c>
      <c r="G68" s="6">
        <v>205</v>
      </c>
      <c r="H68" s="6">
        <f>SUMIF('HSD SAP Dump'!$F$2:$F$602,$A68,'HSD SAP Dump'!$D$2:$D$602)</f>
        <v>305</v>
      </c>
      <c r="I68" s="6">
        <v>205</v>
      </c>
    </row>
    <row r="69" spans="1:9" x14ac:dyDescent="0.35">
      <c r="A69" s="2">
        <v>126368</v>
      </c>
      <c r="B69" s="3" t="s">
        <v>87</v>
      </c>
      <c r="C69" s="2" t="s">
        <v>6</v>
      </c>
      <c r="D69" s="4" t="s">
        <v>44</v>
      </c>
      <c r="E69" s="5" t="s">
        <v>40</v>
      </c>
      <c r="F69" s="6">
        <f>SUMIF('MS SAP Dump'!$F$2:$F$603,$A69,'MS SAP Dump'!$D$2:$D$603)</f>
        <v>144</v>
      </c>
      <c r="G69" s="6">
        <v>183</v>
      </c>
      <c r="H69" s="6">
        <f>SUMIF('HSD SAP Dump'!$F$2:$F$602,$A69,'HSD SAP Dump'!$D$2:$D$602)</f>
        <v>244</v>
      </c>
      <c r="I69" s="6">
        <v>183</v>
      </c>
    </row>
    <row r="70" spans="1:9" x14ac:dyDescent="0.35">
      <c r="A70" s="2">
        <v>126369</v>
      </c>
      <c r="B70" s="3" t="s">
        <v>88</v>
      </c>
      <c r="C70" s="2" t="s">
        <v>6</v>
      </c>
      <c r="D70" s="4" t="s">
        <v>26</v>
      </c>
      <c r="E70" s="5" t="s">
        <v>17</v>
      </c>
      <c r="F70" s="6">
        <f>SUMIF('MS SAP Dump'!$F$2:$F$603,$A70,'MS SAP Dump'!$D$2:$D$603)</f>
        <v>80</v>
      </c>
      <c r="G70" s="6">
        <v>90</v>
      </c>
      <c r="H70" s="6">
        <f>SUMIF('HSD SAP Dump'!$F$2:$F$602,$A70,'HSD SAP Dump'!$D$2:$D$602)</f>
        <v>60</v>
      </c>
      <c r="I70" s="6">
        <v>90</v>
      </c>
    </row>
    <row r="71" spans="1:9" x14ac:dyDescent="0.35">
      <c r="A71" s="2">
        <v>126370</v>
      </c>
      <c r="B71" s="3" t="s">
        <v>89</v>
      </c>
      <c r="C71" s="2" t="s">
        <v>6</v>
      </c>
      <c r="D71" s="4" t="s">
        <v>10</v>
      </c>
      <c r="E71" s="5" t="s">
        <v>8</v>
      </c>
      <c r="F71" s="6">
        <f>SUMIF('MS SAP Dump'!$F$2:$F$603,$A71,'MS SAP Dump'!$D$2:$D$603)</f>
        <v>87</v>
      </c>
      <c r="G71" s="6">
        <v>409</v>
      </c>
      <c r="H71" s="6">
        <f>SUMIF('HSD SAP Dump'!$F$2:$F$602,$A71,'HSD SAP Dump'!$D$2:$D$602)</f>
        <v>395</v>
      </c>
      <c r="I71" s="6">
        <v>409</v>
      </c>
    </row>
    <row r="72" spans="1:9" x14ac:dyDescent="0.35">
      <c r="A72" s="2">
        <v>126372</v>
      </c>
      <c r="B72" s="3" t="s">
        <v>90</v>
      </c>
      <c r="C72" s="2" t="s">
        <v>6</v>
      </c>
      <c r="D72" s="4" t="s">
        <v>44</v>
      </c>
      <c r="E72" s="5" t="s">
        <v>40</v>
      </c>
      <c r="F72" s="6">
        <f>SUMIF('MS SAP Dump'!$F$2:$F$603,$A72,'MS SAP Dump'!$D$2:$D$603)</f>
        <v>21</v>
      </c>
      <c r="G72" s="6">
        <v>48</v>
      </c>
      <c r="H72" s="6">
        <f>SUMIF('HSD SAP Dump'!$F$2:$F$602,$A72,'HSD SAP Dump'!$D$2:$D$602)</f>
        <v>39</v>
      </c>
      <c r="I72" s="6">
        <v>48</v>
      </c>
    </row>
    <row r="73" spans="1:9" x14ac:dyDescent="0.35">
      <c r="A73" s="2">
        <v>126373</v>
      </c>
      <c r="B73" s="3" t="s">
        <v>91</v>
      </c>
      <c r="C73" s="2" t="s">
        <v>6</v>
      </c>
      <c r="D73" s="4" t="s">
        <v>12</v>
      </c>
      <c r="E73" s="5" t="s">
        <v>8</v>
      </c>
      <c r="F73" s="6">
        <f>SUMIF('MS SAP Dump'!$F$2:$F$603,$A73,'MS SAP Dump'!$D$2:$D$603)</f>
        <v>418</v>
      </c>
      <c r="G73" s="6">
        <v>614</v>
      </c>
      <c r="H73" s="6">
        <f>SUMIF('HSD SAP Dump'!$F$2:$F$602,$A73,'HSD SAP Dump'!$D$2:$D$602)</f>
        <v>663</v>
      </c>
      <c r="I73" s="6">
        <v>614</v>
      </c>
    </row>
    <row r="74" spans="1:9" x14ac:dyDescent="0.35">
      <c r="A74" s="2">
        <v>126379</v>
      </c>
      <c r="B74" s="3" t="s">
        <v>92</v>
      </c>
      <c r="C74" s="2" t="s">
        <v>6</v>
      </c>
      <c r="D74" s="4" t="s">
        <v>14</v>
      </c>
      <c r="E74" s="5" t="s">
        <v>8</v>
      </c>
      <c r="F74" s="6">
        <f>SUMIF('MS SAP Dump'!$F$2:$F$603,$A74,'MS SAP Dump'!$D$2:$D$603)</f>
        <v>90</v>
      </c>
      <c r="G74" s="6">
        <v>200</v>
      </c>
      <c r="H74" s="6">
        <f>SUMIF('HSD SAP Dump'!$F$2:$F$602,$A74,'HSD SAP Dump'!$D$2:$D$602)</f>
        <v>250</v>
      </c>
      <c r="I74" s="6">
        <v>200</v>
      </c>
    </row>
    <row r="75" spans="1:9" x14ac:dyDescent="0.35">
      <c r="A75" s="2">
        <v>126402</v>
      </c>
      <c r="B75" s="3" t="s">
        <v>93</v>
      </c>
      <c r="C75" s="2" t="s">
        <v>6</v>
      </c>
      <c r="D75" s="4" t="s">
        <v>14</v>
      </c>
      <c r="E75" s="5" t="s">
        <v>8</v>
      </c>
      <c r="F75" s="6">
        <f>SUMIF('MS SAP Dump'!$F$2:$F$603,$A75,'MS SAP Dump'!$D$2:$D$603)</f>
        <v>85</v>
      </c>
      <c r="G75" s="6">
        <v>334</v>
      </c>
      <c r="H75" s="6">
        <f>SUMIF('HSD SAP Dump'!$F$2:$F$602,$A75,'HSD SAP Dump'!$D$2:$D$602)</f>
        <v>355</v>
      </c>
      <c r="I75" s="6">
        <v>334</v>
      </c>
    </row>
    <row r="76" spans="1:9" x14ac:dyDescent="0.35">
      <c r="A76" s="2">
        <v>132007</v>
      </c>
      <c r="B76" s="3" t="s">
        <v>94</v>
      </c>
      <c r="C76" s="2" t="s">
        <v>6</v>
      </c>
      <c r="D76" s="4" t="s">
        <v>14</v>
      </c>
      <c r="E76" s="5" t="s">
        <v>8</v>
      </c>
      <c r="F76" s="6">
        <f>SUMIF('MS SAP Dump'!$F$2:$F$603,$A76,'MS SAP Dump'!$D$2:$D$603)</f>
        <v>167</v>
      </c>
      <c r="G76" s="6">
        <v>0</v>
      </c>
      <c r="H76" s="6">
        <f>SUMIF('HSD SAP Dump'!$F$2:$F$602,$A76,'HSD SAP Dump'!$D$2:$D$602)</f>
        <v>249</v>
      </c>
      <c r="I76" s="6">
        <v>0</v>
      </c>
    </row>
    <row r="77" spans="1:9" x14ac:dyDescent="0.35">
      <c r="A77" s="2">
        <v>133329</v>
      </c>
      <c r="B77" s="3" t="s">
        <v>95</v>
      </c>
      <c r="C77" s="2" t="s">
        <v>6</v>
      </c>
      <c r="D77" s="4" t="s">
        <v>39</v>
      </c>
      <c r="E77" s="5" t="s">
        <v>40</v>
      </c>
      <c r="F77" s="6">
        <f>SUMIF('MS SAP Dump'!$F$2:$F$603,$A77,'MS SAP Dump'!$D$2:$D$603)</f>
        <v>56</v>
      </c>
      <c r="G77" s="6">
        <v>84</v>
      </c>
      <c r="H77" s="6">
        <f>SUMIF('HSD SAP Dump'!$F$2:$F$602,$A77,'HSD SAP Dump'!$D$2:$D$602)</f>
        <v>98</v>
      </c>
      <c r="I77" s="6">
        <v>84</v>
      </c>
    </row>
    <row r="78" spans="1:9" x14ac:dyDescent="0.35">
      <c r="A78" s="2">
        <v>133393</v>
      </c>
      <c r="B78" s="3" t="s">
        <v>96</v>
      </c>
      <c r="C78" s="2" t="s">
        <v>6</v>
      </c>
      <c r="D78" s="4" t="s">
        <v>7</v>
      </c>
      <c r="E78" s="5" t="s">
        <v>8</v>
      </c>
      <c r="F78" s="6">
        <f>SUMIF('MS SAP Dump'!$F$2:$F$603,$A78,'MS SAP Dump'!$D$2:$D$603)</f>
        <v>9</v>
      </c>
      <c r="G78" s="6">
        <v>0</v>
      </c>
      <c r="H78" s="6">
        <f>SUMIF('HSD SAP Dump'!$F$2:$F$602,$A78,'HSD SAP Dump'!$D$2:$D$602)</f>
        <v>15</v>
      </c>
      <c r="I78" s="6">
        <v>0</v>
      </c>
    </row>
    <row r="79" spans="1:9" x14ac:dyDescent="0.35">
      <c r="A79" s="2">
        <v>133421</v>
      </c>
      <c r="B79" s="3" t="s">
        <v>97</v>
      </c>
      <c r="C79" s="2" t="s">
        <v>6</v>
      </c>
      <c r="D79" s="4" t="s">
        <v>7</v>
      </c>
      <c r="E79" s="5" t="s">
        <v>8</v>
      </c>
      <c r="F79" s="6">
        <f>SUMIF('MS SAP Dump'!$F$2:$F$603,$A79,'MS SAP Dump'!$D$2:$D$603)</f>
        <v>42</v>
      </c>
      <c r="G79" s="6">
        <v>72</v>
      </c>
      <c r="H79" s="6">
        <f>SUMIF('HSD SAP Dump'!$F$2:$F$602,$A79,'HSD SAP Dump'!$D$2:$D$602)</f>
        <v>78</v>
      </c>
      <c r="I79" s="6">
        <v>72</v>
      </c>
    </row>
    <row r="80" spans="1:9" x14ac:dyDescent="0.35">
      <c r="A80" s="2">
        <v>135442</v>
      </c>
      <c r="B80" s="3" t="s">
        <v>98</v>
      </c>
      <c r="C80" s="2" t="s">
        <v>6</v>
      </c>
      <c r="D80" s="4" t="s">
        <v>47</v>
      </c>
      <c r="E80" s="5" t="s">
        <v>8</v>
      </c>
      <c r="F80" s="6">
        <f>SUMIF('MS SAP Dump'!$F$2:$F$603,$A80,'MS SAP Dump'!$D$2:$D$603)</f>
        <v>138</v>
      </c>
      <c r="G80" s="6">
        <v>69</v>
      </c>
      <c r="H80" s="6">
        <f>SUMIF('HSD SAP Dump'!$F$2:$F$602,$A80,'HSD SAP Dump'!$D$2:$D$602)</f>
        <v>78</v>
      </c>
      <c r="I80" s="6">
        <v>69</v>
      </c>
    </row>
    <row r="81" spans="1:9" x14ac:dyDescent="0.35">
      <c r="A81" s="2">
        <v>135609</v>
      </c>
      <c r="B81" s="3" t="s">
        <v>99</v>
      </c>
      <c r="C81" s="2" t="s">
        <v>6</v>
      </c>
      <c r="D81" s="4" t="s">
        <v>10</v>
      </c>
      <c r="E81" s="5" t="s">
        <v>8</v>
      </c>
      <c r="F81" s="6">
        <f>SUMIF('MS SAP Dump'!$F$2:$F$603,$A81,'MS SAP Dump'!$D$2:$D$603)</f>
        <v>229.5</v>
      </c>
      <c r="G81" s="6">
        <v>67</v>
      </c>
      <c r="H81" s="6">
        <f>SUMIF('HSD SAP Dump'!$F$2:$F$602,$A81,'HSD SAP Dump'!$D$2:$D$602)</f>
        <v>76.5</v>
      </c>
      <c r="I81" s="6">
        <v>67</v>
      </c>
    </row>
    <row r="82" spans="1:9" x14ac:dyDescent="0.35">
      <c r="A82" s="2">
        <v>135645</v>
      </c>
      <c r="B82" s="3" t="s">
        <v>100</v>
      </c>
      <c r="C82" s="2" t="s">
        <v>6</v>
      </c>
      <c r="D82" s="4" t="s">
        <v>10</v>
      </c>
      <c r="E82" s="5" t="s">
        <v>8</v>
      </c>
      <c r="F82" s="6">
        <f>SUMIF('MS SAP Dump'!$F$2:$F$603,$A82,'MS SAP Dump'!$D$2:$D$603)</f>
        <v>115</v>
      </c>
      <c r="G82" s="6">
        <v>1223</v>
      </c>
      <c r="H82" s="6">
        <f>SUMIF('HSD SAP Dump'!$F$2:$F$602,$A82,'HSD SAP Dump'!$D$2:$D$602)</f>
        <v>1230</v>
      </c>
      <c r="I82" s="6">
        <v>1223</v>
      </c>
    </row>
    <row r="83" spans="1:9" x14ac:dyDescent="0.35">
      <c r="A83" s="2">
        <v>135649</v>
      </c>
      <c r="B83" s="3" t="s">
        <v>101</v>
      </c>
      <c r="C83" s="2" t="s">
        <v>6</v>
      </c>
      <c r="D83" s="4" t="s">
        <v>47</v>
      </c>
      <c r="E83" s="5" t="s">
        <v>8</v>
      </c>
      <c r="F83" s="6">
        <f>SUMIF('MS SAP Dump'!$F$2:$F$603,$A83,'MS SAP Dump'!$D$2:$D$603)</f>
        <v>3.5</v>
      </c>
      <c r="G83" s="6">
        <v>36</v>
      </c>
      <c r="H83" s="6">
        <f>SUMIF('HSD SAP Dump'!$F$2:$F$602,$A83,'HSD SAP Dump'!$D$2:$D$602)</f>
        <v>108.5</v>
      </c>
      <c r="I83" s="6">
        <v>36</v>
      </c>
    </row>
    <row r="84" spans="1:9" x14ac:dyDescent="0.35">
      <c r="A84" s="2">
        <v>135698</v>
      </c>
      <c r="B84" s="3" t="s">
        <v>102</v>
      </c>
      <c r="C84" s="2" t="s">
        <v>6</v>
      </c>
      <c r="D84" s="4" t="s">
        <v>12</v>
      </c>
      <c r="E84" s="5" t="s">
        <v>8</v>
      </c>
      <c r="F84" s="6">
        <f>SUMIF('MS SAP Dump'!$F$2:$F$603,$A84,'MS SAP Dump'!$D$2:$D$603)</f>
        <v>73</v>
      </c>
      <c r="G84" s="6">
        <v>31</v>
      </c>
      <c r="H84" s="6">
        <f>SUMIF('HSD SAP Dump'!$F$2:$F$602,$A84,'HSD SAP Dump'!$D$2:$D$602)</f>
        <v>31</v>
      </c>
      <c r="I84" s="6">
        <v>31</v>
      </c>
    </row>
    <row r="85" spans="1:9" x14ac:dyDescent="0.35">
      <c r="A85" s="2">
        <v>141722</v>
      </c>
      <c r="B85" s="3" t="s">
        <v>103</v>
      </c>
      <c r="C85" s="2" t="s">
        <v>6</v>
      </c>
      <c r="D85" s="4" t="s">
        <v>16</v>
      </c>
      <c r="E85" s="5" t="s">
        <v>17</v>
      </c>
      <c r="F85" s="6">
        <f>SUMIF('MS SAP Dump'!$F$2:$F$603,$A85,'MS SAP Dump'!$D$2:$D$603)</f>
        <v>58</v>
      </c>
      <c r="G85" s="6">
        <v>93</v>
      </c>
      <c r="H85" s="6">
        <f>SUMIF('HSD SAP Dump'!$F$2:$F$602,$A85,'HSD SAP Dump'!$D$2:$D$602)</f>
        <v>110</v>
      </c>
      <c r="I85" s="6">
        <v>93</v>
      </c>
    </row>
    <row r="86" spans="1:9" x14ac:dyDescent="0.35">
      <c r="A86" s="2">
        <v>141790</v>
      </c>
      <c r="B86" s="3" t="s">
        <v>104</v>
      </c>
      <c r="C86" s="2" t="s">
        <v>6</v>
      </c>
      <c r="D86" s="4" t="s">
        <v>16</v>
      </c>
      <c r="E86" s="5" t="s">
        <v>17</v>
      </c>
      <c r="F86" s="6">
        <f>SUMIF('MS SAP Dump'!$F$2:$F$603,$A86,'MS SAP Dump'!$D$2:$D$603)</f>
        <v>24</v>
      </c>
      <c r="G86" s="6">
        <v>58</v>
      </c>
      <c r="H86" s="6">
        <f>SUMIF('HSD SAP Dump'!$F$2:$F$602,$A86,'HSD SAP Dump'!$D$2:$D$602)</f>
        <v>60</v>
      </c>
      <c r="I86" s="6">
        <v>58</v>
      </c>
    </row>
    <row r="87" spans="1:9" x14ac:dyDescent="0.35">
      <c r="A87" s="2">
        <v>153499</v>
      </c>
      <c r="B87" s="3" t="s">
        <v>105</v>
      </c>
      <c r="C87" s="2" t="s">
        <v>6</v>
      </c>
      <c r="D87" s="4" t="s">
        <v>26</v>
      </c>
      <c r="E87" s="5" t="s">
        <v>17</v>
      </c>
      <c r="F87" s="6">
        <f>SUMIF('MS SAP Dump'!$F$2:$F$603,$A87,'MS SAP Dump'!$D$2:$D$603)</f>
        <v>68</v>
      </c>
      <c r="G87" s="6">
        <v>52</v>
      </c>
      <c r="H87" s="6">
        <f>SUMIF('HSD SAP Dump'!$F$2:$F$602,$A87,'HSD SAP Dump'!$D$2:$D$602)</f>
        <v>88</v>
      </c>
      <c r="I87" s="6">
        <v>52</v>
      </c>
    </row>
    <row r="88" spans="1:9" x14ac:dyDescent="0.35">
      <c r="A88" s="2">
        <v>162500</v>
      </c>
      <c r="B88" s="3" t="s">
        <v>106</v>
      </c>
      <c r="C88" s="2" t="s">
        <v>6</v>
      </c>
      <c r="D88" s="4" t="s">
        <v>52</v>
      </c>
      <c r="E88" s="5" t="s">
        <v>8</v>
      </c>
      <c r="F88" s="6">
        <f>SUMIF('MS SAP Dump'!$F$2:$F$603,$A88,'MS SAP Dump'!$D$2:$D$603)</f>
        <v>66.5</v>
      </c>
      <c r="G88" s="6">
        <v>203</v>
      </c>
      <c r="H88" s="6">
        <f>SUMIF('HSD SAP Dump'!$F$2:$F$602,$A88,'HSD SAP Dump'!$D$2:$D$602)</f>
        <v>255.5</v>
      </c>
      <c r="I88" s="6">
        <v>203</v>
      </c>
    </row>
    <row r="89" spans="1:9" x14ac:dyDescent="0.35">
      <c r="A89" s="2">
        <v>162505</v>
      </c>
      <c r="B89" s="3" t="s">
        <v>107</v>
      </c>
      <c r="C89" s="2" t="s">
        <v>6</v>
      </c>
      <c r="D89" s="4" t="s">
        <v>16</v>
      </c>
      <c r="E89" s="5" t="s">
        <v>17</v>
      </c>
      <c r="F89" s="6">
        <f>SUMIF('MS SAP Dump'!$F$2:$F$603,$A89,'MS SAP Dump'!$D$2:$D$603)</f>
        <v>112</v>
      </c>
      <c r="G89" s="6">
        <v>104</v>
      </c>
      <c r="H89" s="6">
        <f>SUMIF('HSD SAP Dump'!$F$2:$F$602,$A89,'HSD SAP Dump'!$D$2:$D$602)</f>
        <v>154</v>
      </c>
      <c r="I89" s="6">
        <v>104</v>
      </c>
    </row>
    <row r="90" spans="1:9" x14ac:dyDescent="0.35">
      <c r="A90" s="2">
        <v>162507</v>
      </c>
      <c r="B90" s="3" t="s">
        <v>108</v>
      </c>
      <c r="C90" s="2" t="s">
        <v>6</v>
      </c>
      <c r="D90" s="4" t="s">
        <v>10</v>
      </c>
      <c r="E90" s="5" t="s">
        <v>8</v>
      </c>
      <c r="F90" s="6">
        <f>SUMIF('MS SAP Dump'!$F$2:$F$603,$A90,'MS SAP Dump'!$D$2:$D$603)</f>
        <v>201</v>
      </c>
      <c r="G90" s="6">
        <v>206.5</v>
      </c>
      <c r="H90" s="6">
        <f>SUMIF('HSD SAP Dump'!$F$2:$F$602,$A90,'HSD SAP Dump'!$D$2:$D$602)</f>
        <v>231</v>
      </c>
      <c r="I90" s="6">
        <v>206.5</v>
      </c>
    </row>
    <row r="91" spans="1:9" x14ac:dyDescent="0.35">
      <c r="A91" s="2">
        <v>162508</v>
      </c>
      <c r="B91" s="3" t="s">
        <v>109</v>
      </c>
      <c r="C91" s="2" t="s">
        <v>6</v>
      </c>
      <c r="D91" s="4" t="s">
        <v>39</v>
      </c>
      <c r="E91" s="5" t="s">
        <v>40</v>
      </c>
      <c r="F91" s="6">
        <f>SUMIF('MS SAP Dump'!$F$2:$F$603,$A91,'MS SAP Dump'!$D$2:$D$603)</f>
        <v>57.5</v>
      </c>
      <c r="G91" s="6">
        <v>70</v>
      </c>
      <c r="H91" s="6">
        <f>SUMIF('HSD SAP Dump'!$F$2:$F$602,$A91,'HSD SAP Dump'!$D$2:$D$602)</f>
        <v>74.5</v>
      </c>
      <c r="I91" s="6">
        <v>70</v>
      </c>
    </row>
    <row r="92" spans="1:9" x14ac:dyDescent="0.35">
      <c r="A92" s="2">
        <v>162509</v>
      </c>
      <c r="B92" s="3" t="s">
        <v>110</v>
      </c>
      <c r="C92" s="2" t="s">
        <v>6</v>
      </c>
      <c r="D92" s="4" t="s">
        <v>26</v>
      </c>
      <c r="E92" s="5" t="s">
        <v>17</v>
      </c>
      <c r="F92" s="6">
        <f>SUMIF('MS SAP Dump'!$F$2:$F$603,$A92,'MS SAP Dump'!$D$2:$D$603)</f>
        <v>45</v>
      </c>
      <c r="G92" s="6">
        <v>26</v>
      </c>
      <c r="H92" s="6">
        <f>SUMIF('HSD SAP Dump'!$F$2:$F$602,$A92,'HSD SAP Dump'!$D$2:$D$602)</f>
        <v>15</v>
      </c>
      <c r="I92" s="6">
        <v>26</v>
      </c>
    </row>
    <row r="93" spans="1:9" x14ac:dyDescent="0.35">
      <c r="A93" s="2">
        <v>162510</v>
      </c>
      <c r="B93" s="3" t="s">
        <v>111</v>
      </c>
      <c r="C93" s="2" t="s">
        <v>6</v>
      </c>
      <c r="D93" s="4" t="s">
        <v>12</v>
      </c>
      <c r="E93" s="5" t="s">
        <v>8</v>
      </c>
      <c r="F93" s="6">
        <f>SUMIF('MS SAP Dump'!$F$2:$F$603,$A93,'MS SAP Dump'!$D$2:$D$603)</f>
        <v>421</v>
      </c>
      <c r="G93" s="6">
        <v>199</v>
      </c>
      <c r="H93" s="6">
        <f>SUMIF('HSD SAP Dump'!$F$2:$F$602,$A93,'HSD SAP Dump'!$D$2:$D$602)</f>
        <v>203</v>
      </c>
      <c r="I93" s="6">
        <v>199</v>
      </c>
    </row>
    <row r="94" spans="1:9" x14ac:dyDescent="0.35">
      <c r="A94" s="2">
        <v>162511</v>
      </c>
      <c r="B94" s="3" t="s">
        <v>112</v>
      </c>
      <c r="C94" s="2" t="s">
        <v>6</v>
      </c>
      <c r="D94" s="4" t="s">
        <v>16</v>
      </c>
      <c r="E94" s="5" t="s">
        <v>17</v>
      </c>
      <c r="F94" s="6">
        <f>SUMIF('MS SAP Dump'!$F$2:$F$603,$A94,'MS SAP Dump'!$D$2:$D$603)</f>
        <v>58</v>
      </c>
      <c r="G94" s="6">
        <v>96</v>
      </c>
      <c r="H94" s="6">
        <f>SUMIF('HSD SAP Dump'!$F$2:$F$602,$A94,'HSD SAP Dump'!$D$2:$D$602)</f>
        <v>138</v>
      </c>
      <c r="I94" s="6">
        <v>96</v>
      </c>
    </row>
    <row r="95" spans="1:9" x14ac:dyDescent="0.35">
      <c r="A95" s="2">
        <v>162513</v>
      </c>
      <c r="B95" s="3" t="s">
        <v>113</v>
      </c>
      <c r="C95" s="2" t="s">
        <v>6</v>
      </c>
      <c r="D95" s="4" t="s">
        <v>7</v>
      </c>
      <c r="E95" s="5" t="s">
        <v>8</v>
      </c>
      <c r="F95" s="6">
        <f>SUMIF('MS SAP Dump'!$F$2:$F$603,$A95,'MS SAP Dump'!$D$2:$D$603)</f>
        <v>10</v>
      </c>
      <c r="G95" s="6">
        <v>111</v>
      </c>
      <c r="H95" s="6">
        <f>SUMIF('HSD SAP Dump'!$F$2:$F$602,$A95,'HSD SAP Dump'!$D$2:$D$602)</f>
        <v>110</v>
      </c>
      <c r="I95" s="6">
        <v>111</v>
      </c>
    </row>
    <row r="96" spans="1:9" x14ac:dyDescent="0.35">
      <c r="A96" s="2">
        <v>162515</v>
      </c>
      <c r="B96" s="3" t="s">
        <v>114</v>
      </c>
      <c r="C96" s="2" t="s">
        <v>6</v>
      </c>
      <c r="D96" s="4" t="s">
        <v>26</v>
      </c>
      <c r="E96" s="5" t="s">
        <v>17</v>
      </c>
      <c r="F96" s="6">
        <f>SUMIF('MS SAP Dump'!$F$2:$F$603,$A96,'MS SAP Dump'!$D$2:$D$603)</f>
        <v>20</v>
      </c>
      <c r="G96" s="6">
        <v>49</v>
      </c>
      <c r="H96" s="6">
        <f>SUMIF('HSD SAP Dump'!$F$2:$F$602,$A96,'HSD SAP Dump'!$D$2:$D$602)</f>
        <v>68</v>
      </c>
      <c r="I96" s="6">
        <v>49</v>
      </c>
    </row>
    <row r="97" spans="1:9" x14ac:dyDescent="0.35">
      <c r="A97" s="2">
        <v>164764</v>
      </c>
      <c r="B97" s="3" t="s">
        <v>115</v>
      </c>
      <c r="C97" s="2" t="s">
        <v>6</v>
      </c>
      <c r="D97" s="4" t="s">
        <v>39</v>
      </c>
      <c r="E97" s="5" t="s">
        <v>40</v>
      </c>
      <c r="F97" s="6">
        <f>SUMIF('MS SAP Dump'!$F$2:$F$603,$A97,'MS SAP Dump'!$D$2:$D$603)</f>
        <v>48</v>
      </c>
      <c r="G97" s="6">
        <v>70.5</v>
      </c>
      <c r="H97" s="6">
        <f>SUMIF('HSD SAP Dump'!$F$2:$F$602,$A97,'HSD SAP Dump'!$D$2:$D$602)</f>
        <v>90</v>
      </c>
      <c r="I97" s="6">
        <v>70.5</v>
      </c>
    </row>
    <row r="98" spans="1:9" x14ac:dyDescent="0.35">
      <c r="A98" s="2">
        <v>164767</v>
      </c>
      <c r="B98" s="3" t="s">
        <v>116</v>
      </c>
      <c r="C98" s="2" t="s">
        <v>6</v>
      </c>
      <c r="D98" s="4" t="s">
        <v>16</v>
      </c>
      <c r="E98" s="5" t="s">
        <v>17</v>
      </c>
      <c r="F98" s="6">
        <f>SUMIF('MS SAP Dump'!$F$2:$F$603,$A98,'MS SAP Dump'!$D$2:$D$603)</f>
        <v>31.5</v>
      </c>
      <c r="G98" s="6">
        <v>66.5</v>
      </c>
      <c r="H98" s="6">
        <f>SUMIF('HSD SAP Dump'!$F$2:$F$602,$A98,'HSD SAP Dump'!$D$2:$D$602)</f>
        <v>66.5</v>
      </c>
      <c r="I98" s="6">
        <v>66.5</v>
      </c>
    </row>
    <row r="99" spans="1:9" x14ac:dyDescent="0.35">
      <c r="A99" s="2">
        <v>164772</v>
      </c>
      <c r="B99" s="3" t="s">
        <v>117</v>
      </c>
      <c r="C99" s="2" t="s">
        <v>6</v>
      </c>
      <c r="D99" s="4" t="s">
        <v>12</v>
      </c>
      <c r="E99" s="5" t="s">
        <v>8</v>
      </c>
      <c r="F99" s="6">
        <f>SUMIF('MS SAP Dump'!$F$2:$F$603,$A99,'MS SAP Dump'!$D$2:$D$603)</f>
        <v>280</v>
      </c>
      <c r="G99" s="6">
        <v>258</v>
      </c>
      <c r="H99" s="6">
        <f>SUMIF('HSD SAP Dump'!$F$2:$F$602,$A99,'HSD SAP Dump'!$D$2:$D$602)</f>
        <v>300</v>
      </c>
      <c r="I99" s="6">
        <v>258</v>
      </c>
    </row>
    <row r="100" spans="1:9" x14ac:dyDescent="0.35">
      <c r="A100" s="2">
        <v>174541</v>
      </c>
      <c r="B100" s="3" t="s">
        <v>118</v>
      </c>
      <c r="C100" s="2" t="s">
        <v>6</v>
      </c>
      <c r="D100" s="4" t="s">
        <v>26</v>
      </c>
      <c r="E100" s="5" t="s">
        <v>17</v>
      </c>
      <c r="F100" s="6">
        <f>SUMIF('MS SAP Dump'!$F$2:$F$603,$A100,'MS SAP Dump'!$D$2:$D$603)</f>
        <v>34</v>
      </c>
      <c r="G100" s="6">
        <v>55</v>
      </c>
      <c r="H100" s="6">
        <f>SUMIF('HSD SAP Dump'!$F$2:$F$602,$A100,'HSD SAP Dump'!$D$2:$D$602)</f>
        <v>82</v>
      </c>
      <c r="I100" s="6">
        <v>55</v>
      </c>
    </row>
    <row r="101" spans="1:9" x14ac:dyDescent="0.35">
      <c r="A101" s="2">
        <v>174542</v>
      </c>
      <c r="B101" s="3" t="s">
        <v>119</v>
      </c>
      <c r="C101" s="2" t="s">
        <v>6</v>
      </c>
      <c r="D101" s="4" t="s">
        <v>44</v>
      </c>
      <c r="E101" s="5" t="s">
        <v>40</v>
      </c>
      <c r="F101" s="6">
        <f>SUMIF('MS SAP Dump'!$F$2:$F$603,$A101,'MS SAP Dump'!$D$2:$D$603)</f>
        <v>103.5</v>
      </c>
      <c r="G101" s="6">
        <v>135</v>
      </c>
      <c r="H101" s="6">
        <f>SUMIF('HSD SAP Dump'!$F$2:$F$602,$A101,'HSD SAP Dump'!$D$2:$D$602)</f>
        <v>238.5</v>
      </c>
      <c r="I101" s="6">
        <v>135</v>
      </c>
    </row>
    <row r="102" spans="1:9" x14ac:dyDescent="0.35">
      <c r="A102" s="2">
        <v>174550</v>
      </c>
      <c r="B102" s="3" t="s">
        <v>120</v>
      </c>
      <c r="C102" s="2" t="s">
        <v>6</v>
      </c>
      <c r="D102" s="4" t="s">
        <v>39</v>
      </c>
      <c r="E102" s="5" t="s">
        <v>40</v>
      </c>
      <c r="F102" s="6">
        <f>SUMIF('MS SAP Dump'!$F$2:$F$603,$A102,'MS SAP Dump'!$D$2:$D$603)</f>
        <v>28</v>
      </c>
      <c r="G102" s="6">
        <v>31.5</v>
      </c>
      <c r="H102" s="6">
        <f>SUMIF('HSD SAP Dump'!$F$2:$F$602,$A102,'HSD SAP Dump'!$D$2:$D$602)</f>
        <v>14</v>
      </c>
      <c r="I102" s="6">
        <v>31.5</v>
      </c>
    </row>
    <row r="103" spans="1:9" x14ac:dyDescent="0.35">
      <c r="A103" s="2">
        <v>176113</v>
      </c>
      <c r="B103" s="3" t="s">
        <v>121</v>
      </c>
      <c r="C103" s="2" t="s">
        <v>6</v>
      </c>
      <c r="D103" s="4" t="s">
        <v>10</v>
      </c>
      <c r="E103" s="5" t="s">
        <v>8</v>
      </c>
      <c r="F103" s="6">
        <f>SUMIF('MS SAP Dump'!$F$2:$F$603,$A103,'MS SAP Dump'!$D$2:$D$603)</f>
        <v>170</v>
      </c>
      <c r="G103" s="6">
        <v>315</v>
      </c>
      <c r="H103" s="6">
        <f>SUMIF('HSD SAP Dump'!$F$2:$F$602,$A103,'HSD SAP Dump'!$D$2:$D$602)</f>
        <v>410</v>
      </c>
      <c r="I103" s="6">
        <v>315</v>
      </c>
    </row>
    <row r="104" spans="1:9" x14ac:dyDescent="0.35">
      <c r="A104" s="2">
        <v>176189</v>
      </c>
      <c r="B104" s="3" t="s">
        <v>122</v>
      </c>
      <c r="C104" s="2" t="s">
        <v>6</v>
      </c>
      <c r="D104" s="4" t="s">
        <v>47</v>
      </c>
      <c r="E104" s="5" t="s">
        <v>8</v>
      </c>
      <c r="F104" s="6">
        <f>SUMIF('MS SAP Dump'!$F$2:$F$603,$A104,'MS SAP Dump'!$D$2:$D$603)</f>
        <v>37</v>
      </c>
      <c r="G104" s="6">
        <v>64</v>
      </c>
      <c r="H104" s="6">
        <f>SUMIF('HSD SAP Dump'!$F$2:$F$602,$A104,'HSD SAP Dump'!$D$2:$D$602)</f>
        <v>39</v>
      </c>
      <c r="I104" s="6">
        <v>64</v>
      </c>
    </row>
    <row r="105" spans="1:9" x14ac:dyDescent="0.35">
      <c r="A105" s="2">
        <v>176684</v>
      </c>
      <c r="B105" s="3" t="s">
        <v>123</v>
      </c>
      <c r="C105" s="2" t="s">
        <v>6</v>
      </c>
      <c r="D105" s="4" t="s">
        <v>39</v>
      </c>
      <c r="E105" s="5" t="s">
        <v>40</v>
      </c>
      <c r="F105" s="6">
        <f>SUMIF('MS SAP Dump'!$F$2:$F$603,$A105,'MS SAP Dump'!$D$2:$D$603)</f>
        <v>35</v>
      </c>
      <c r="G105" s="6">
        <v>87</v>
      </c>
      <c r="H105" s="6">
        <f>SUMIF('HSD SAP Dump'!$F$2:$F$602,$A105,'HSD SAP Dump'!$D$2:$D$602)</f>
        <v>77</v>
      </c>
      <c r="I105" s="6">
        <v>87</v>
      </c>
    </row>
    <row r="106" spans="1:9" x14ac:dyDescent="0.35">
      <c r="A106" s="2">
        <v>177369</v>
      </c>
      <c r="B106" s="3" t="s">
        <v>124</v>
      </c>
      <c r="C106" s="2" t="s">
        <v>6</v>
      </c>
      <c r="D106" s="4" t="s">
        <v>16</v>
      </c>
      <c r="E106" s="5" t="s">
        <v>17</v>
      </c>
      <c r="F106" s="6">
        <f>SUMIF('MS SAP Dump'!$F$2:$F$603,$A106,'MS SAP Dump'!$D$2:$D$603)</f>
        <v>0</v>
      </c>
      <c r="G106" s="6">
        <v>0</v>
      </c>
      <c r="H106" s="6">
        <f>SUMIF('HSD SAP Dump'!$F$2:$F$602,$A106,'HSD SAP Dump'!$D$2:$D$602)</f>
        <v>0</v>
      </c>
      <c r="I106" s="6">
        <v>0</v>
      </c>
    </row>
    <row r="107" spans="1:9" x14ac:dyDescent="0.35">
      <c r="A107" s="2">
        <v>180555</v>
      </c>
      <c r="B107" s="3" t="s">
        <v>125</v>
      </c>
      <c r="C107" s="2" t="s">
        <v>6</v>
      </c>
      <c r="D107" s="4" t="s">
        <v>52</v>
      </c>
      <c r="E107" s="5" t="s">
        <v>8</v>
      </c>
      <c r="F107" s="6">
        <f>SUMIF('MS SAP Dump'!$F$2:$F$603,$A107,'MS SAP Dump'!$D$2:$D$603)</f>
        <v>15</v>
      </c>
      <c r="G107" s="6">
        <v>180</v>
      </c>
      <c r="H107" s="6">
        <f>SUMIF('HSD SAP Dump'!$F$2:$F$602,$A107,'HSD SAP Dump'!$D$2:$D$602)</f>
        <v>245</v>
      </c>
      <c r="I107" s="6">
        <v>180</v>
      </c>
    </row>
    <row r="108" spans="1:9" x14ac:dyDescent="0.35">
      <c r="A108" s="2">
        <v>180566</v>
      </c>
      <c r="B108" s="3" t="s">
        <v>126</v>
      </c>
      <c r="C108" s="2" t="s">
        <v>6</v>
      </c>
      <c r="D108" s="4" t="s">
        <v>12</v>
      </c>
      <c r="E108" s="5" t="s">
        <v>8</v>
      </c>
      <c r="F108" s="6">
        <f>SUMIF('MS SAP Dump'!$F$2:$F$603,$A108,'MS SAP Dump'!$D$2:$D$603)</f>
        <v>165</v>
      </c>
      <c r="G108" s="6">
        <v>54</v>
      </c>
      <c r="H108" s="6">
        <f>SUMIF('HSD SAP Dump'!$F$2:$F$602,$A108,'HSD SAP Dump'!$D$2:$D$602)</f>
        <v>51</v>
      </c>
      <c r="I108" s="6">
        <v>54</v>
      </c>
    </row>
    <row r="109" spans="1:9" x14ac:dyDescent="0.35">
      <c r="A109" s="2">
        <v>181638</v>
      </c>
      <c r="B109" s="3" t="s">
        <v>127</v>
      </c>
      <c r="C109" s="2" t="s">
        <v>6</v>
      </c>
      <c r="D109" s="4" t="s">
        <v>12</v>
      </c>
      <c r="E109" s="5" t="s">
        <v>8</v>
      </c>
      <c r="F109" s="6">
        <f>SUMIF('MS SAP Dump'!$F$2:$F$603,$A109,'MS SAP Dump'!$D$2:$D$603)</f>
        <v>646</v>
      </c>
      <c r="G109" s="6">
        <v>642</v>
      </c>
      <c r="H109" s="6">
        <f>SUMIF('HSD SAP Dump'!$F$2:$F$602,$A109,'HSD SAP Dump'!$D$2:$D$602)</f>
        <v>638</v>
      </c>
      <c r="I109" s="6">
        <v>642</v>
      </c>
    </row>
    <row r="110" spans="1:9" x14ac:dyDescent="0.35">
      <c r="A110" s="2">
        <v>184284</v>
      </c>
      <c r="B110" s="3" t="s">
        <v>128</v>
      </c>
      <c r="C110" s="2" t="s">
        <v>6</v>
      </c>
      <c r="D110" s="4" t="s">
        <v>14</v>
      </c>
      <c r="E110" s="5" t="s">
        <v>8</v>
      </c>
      <c r="F110" s="6">
        <f>SUMIF('MS SAP Dump'!$F$2:$F$603,$A110,'MS SAP Dump'!$D$2:$D$603)</f>
        <v>15</v>
      </c>
      <c r="G110" s="6">
        <v>73</v>
      </c>
      <c r="H110" s="6">
        <f>SUMIF('HSD SAP Dump'!$F$2:$F$602,$A110,'HSD SAP Dump'!$D$2:$D$602)</f>
        <v>45</v>
      </c>
      <c r="I110" s="6">
        <v>73</v>
      </c>
    </row>
    <row r="111" spans="1:9" x14ac:dyDescent="0.35">
      <c r="A111" s="2">
        <v>185624</v>
      </c>
      <c r="B111" s="3" t="s">
        <v>129</v>
      </c>
      <c r="C111" s="2" t="s">
        <v>6</v>
      </c>
      <c r="D111" s="4" t="s">
        <v>14</v>
      </c>
      <c r="E111" s="5" t="s">
        <v>8</v>
      </c>
      <c r="F111" s="6">
        <f>SUMIF('MS SAP Dump'!$F$2:$F$603,$A111,'MS SAP Dump'!$D$2:$D$603)</f>
        <v>0</v>
      </c>
      <c r="G111" s="6">
        <v>18</v>
      </c>
      <c r="H111" s="6">
        <f>SUMIF('HSD SAP Dump'!$F$2:$F$602,$A111,'HSD SAP Dump'!$D$2:$D$602)</f>
        <v>0</v>
      </c>
      <c r="I111" s="6">
        <v>18</v>
      </c>
    </row>
    <row r="112" spans="1:9" x14ac:dyDescent="0.35">
      <c r="A112" s="2">
        <v>185653</v>
      </c>
      <c r="B112" s="3" t="s">
        <v>130</v>
      </c>
      <c r="C112" s="2" t="s">
        <v>6</v>
      </c>
      <c r="D112" s="4" t="s">
        <v>44</v>
      </c>
      <c r="E112" s="5" t="s">
        <v>40</v>
      </c>
      <c r="F112" s="6">
        <f>SUMIF('MS SAP Dump'!$F$2:$F$603,$A112,'MS SAP Dump'!$D$2:$D$603)</f>
        <v>66.5</v>
      </c>
      <c r="G112" s="6">
        <v>91</v>
      </c>
      <c r="H112" s="6">
        <f>SUMIF('HSD SAP Dump'!$F$2:$F$602,$A112,'HSD SAP Dump'!$D$2:$D$602)</f>
        <v>87.5</v>
      </c>
      <c r="I112" s="6">
        <v>91</v>
      </c>
    </row>
    <row r="113" spans="1:9" x14ac:dyDescent="0.35">
      <c r="A113" s="2">
        <v>192171</v>
      </c>
      <c r="B113" s="3" t="s">
        <v>131</v>
      </c>
      <c r="C113" s="2" t="s">
        <v>6</v>
      </c>
      <c r="D113" s="4" t="s">
        <v>26</v>
      </c>
      <c r="E113" s="5" t="s">
        <v>17</v>
      </c>
      <c r="F113" s="6">
        <f>SUMIF('MS SAP Dump'!$F$2:$F$603,$A113,'MS SAP Dump'!$D$2:$D$603)</f>
        <v>87</v>
      </c>
      <c r="G113" s="6">
        <v>60</v>
      </c>
      <c r="H113" s="6">
        <f>SUMIF('HSD SAP Dump'!$F$2:$F$602,$A113,'HSD SAP Dump'!$D$2:$D$602)</f>
        <v>57</v>
      </c>
      <c r="I113" s="6">
        <v>60</v>
      </c>
    </row>
    <row r="114" spans="1:9" x14ac:dyDescent="0.35">
      <c r="A114" s="2">
        <v>192206</v>
      </c>
      <c r="B114" s="3" t="s">
        <v>132</v>
      </c>
      <c r="C114" s="2" t="s">
        <v>6</v>
      </c>
      <c r="D114" s="4" t="s">
        <v>44</v>
      </c>
      <c r="E114" s="5" t="s">
        <v>40</v>
      </c>
      <c r="F114" s="6">
        <f>SUMIF('MS SAP Dump'!$F$2:$F$603,$A114,'MS SAP Dump'!$D$2:$D$603)</f>
        <v>60</v>
      </c>
      <c r="G114" s="6">
        <v>81</v>
      </c>
      <c r="H114" s="6">
        <f>SUMIF('HSD SAP Dump'!$F$2:$F$602,$A114,'HSD SAP Dump'!$D$2:$D$602)</f>
        <v>84</v>
      </c>
      <c r="I114" s="6">
        <v>81</v>
      </c>
    </row>
    <row r="115" spans="1:9" x14ac:dyDescent="0.35">
      <c r="A115" s="2">
        <v>192208</v>
      </c>
      <c r="B115" s="3" t="s">
        <v>133</v>
      </c>
      <c r="C115" s="2" t="s">
        <v>6</v>
      </c>
      <c r="D115" s="4" t="s">
        <v>39</v>
      </c>
      <c r="E115" s="5" t="s">
        <v>40</v>
      </c>
      <c r="F115" s="6">
        <f>SUMIF('MS SAP Dump'!$F$2:$F$603,$A115,'MS SAP Dump'!$D$2:$D$603)</f>
        <v>73.5</v>
      </c>
      <c r="G115" s="6">
        <v>116.5</v>
      </c>
      <c r="H115" s="6">
        <f>SUMIF('HSD SAP Dump'!$F$2:$F$602,$A115,'HSD SAP Dump'!$D$2:$D$602)</f>
        <v>190.5</v>
      </c>
      <c r="I115" s="6">
        <v>116.5</v>
      </c>
    </row>
    <row r="116" spans="1:9" x14ac:dyDescent="0.35">
      <c r="A116" s="2">
        <v>192214</v>
      </c>
      <c r="B116" s="3" t="s">
        <v>134</v>
      </c>
      <c r="C116" s="2" t="s">
        <v>6</v>
      </c>
      <c r="D116" s="4" t="s">
        <v>44</v>
      </c>
      <c r="E116" s="5" t="s">
        <v>40</v>
      </c>
      <c r="F116" s="6">
        <f>SUMIF('MS SAP Dump'!$F$2:$F$603,$A116,'MS SAP Dump'!$D$2:$D$603)</f>
        <v>70</v>
      </c>
      <c r="G116" s="6">
        <v>90</v>
      </c>
      <c r="H116" s="6">
        <f>SUMIF('HSD SAP Dump'!$F$2:$F$602,$A116,'HSD SAP Dump'!$D$2:$D$602)</f>
        <v>90</v>
      </c>
      <c r="I116" s="6">
        <v>90</v>
      </c>
    </row>
    <row r="117" spans="1:9" x14ac:dyDescent="0.35">
      <c r="A117" s="2">
        <v>192215</v>
      </c>
      <c r="B117" s="3" t="s">
        <v>135</v>
      </c>
      <c r="C117" s="2" t="s">
        <v>6</v>
      </c>
      <c r="D117" s="4" t="s">
        <v>44</v>
      </c>
      <c r="E117" s="5" t="s">
        <v>40</v>
      </c>
      <c r="F117" s="6">
        <f>SUMIF('MS SAP Dump'!$F$2:$F$603,$A117,'MS SAP Dump'!$D$2:$D$603)</f>
        <v>27</v>
      </c>
      <c r="G117" s="6">
        <v>90</v>
      </c>
      <c r="H117" s="6">
        <f>SUMIF('HSD SAP Dump'!$F$2:$F$602,$A117,'HSD SAP Dump'!$D$2:$D$602)</f>
        <v>81</v>
      </c>
      <c r="I117" s="6">
        <v>90</v>
      </c>
    </row>
    <row r="118" spans="1:9" x14ac:dyDescent="0.35">
      <c r="A118" s="2">
        <v>192251</v>
      </c>
      <c r="B118" s="3" t="s">
        <v>136</v>
      </c>
      <c r="C118" s="2" t="s">
        <v>6</v>
      </c>
      <c r="D118" s="4" t="s">
        <v>16</v>
      </c>
      <c r="E118" s="5" t="s">
        <v>17</v>
      </c>
      <c r="F118" s="6">
        <f>SUMIF('MS SAP Dump'!$F$2:$F$603,$A118,'MS SAP Dump'!$D$2:$D$603)</f>
        <v>123</v>
      </c>
      <c r="G118" s="6">
        <v>161</v>
      </c>
      <c r="H118" s="6">
        <f>SUMIF('HSD SAP Dump'!$F$2:$F$602,$A118,'HSD SAP Dump'!$D$2:$D$602)</f>
        <v>163</v>
      </c>
      <c r="I118" s="6">
        <v>161</v>
      </c>
    </row>
    <row r="119" spans="1:9" x14ac:dyDescent="0.35">
      <c r="A119" s="2">
        <v>192252</v>
      </c>
      <c r="B119" s="3" t="s">
        <v>137</v>
      </c>
      <c r="C119" s="2" t="s">
        <v>6</v>
      </c>
      <c r="D119" s="4" t="s">
        <v>26</v>
      </c>
      <c r="E119" s="5" t="s">
        <v>17</v>
      </c>
      <c r="F119" s="6">
        <f>SUMIF('MS SAP Dump'!$F$2:$F$603,$A119,'MS SAP Dump'!$D$2:$D$603)</f>
        <v>39</v>
      </c>
      <c r="G119" s="6">
        <v>126</v>
      </c>
      <c r="H119" s="6">
        <f>SUMIF('HSD SAP Dump'!$F$2:$F$602,$A119,'HSD SAP Dump'!$D$2:$D$602)</f>
        <v>105</v>
      </c>
      <c r="I119" s="6">
        <v>126</v>
      </c>
    </row>
    <row r="120" spans="1:9" x14ac:dyDescent="0.35">
      <c r="A120" s="2">
        <v>192253</v>
      </c>
      <c r="B120" s="3" t="s">
        <v>138</v>
      </c>
      <c r="C120" s="2" t="s">
        <v>6</v>
      </c>
      <c r="D120" s="4" t="s">
        <v>16</v>
      </c>
      <c r="E120" s="5" t="s">
        <v>17</v>
      </c>
      <c r="F120" s="6">
        <f>SUMIF('MS SAP Dump'!$F$2:$F$603,$A120,'MS SAP Dump'!$D$2:$D$603)</f>
        <v>0</v>
      </c>
      <c r="G120" s="6">
        <v>0</v>
      </c>
      <c r="H120" s="6">
        <f>SUMIF('HSD SAP Dump'!$F$2:$F$602,$A120,'HSD SAP Dump'!$D$2:$D$602)</f>
        <v>0</v>
      </c>
      <c r="I120" s="6">
        <v>0</v>
      </c>
    </row>
    <row r="121" spans="1:9" x14ac:dyDescent="0.35">
      <c r="A121" s="2">
        <v>192254</v>
      </c>
      <c r="B121" s="3" t="s">
        <v>139</v>
      </c>
      <c r="C121" s="2" t="s">
        <v>6</v>
      </c>
      <c r="D121" s="4" t="s">
        <v>19</v>
      </c>
      <c r="E121" s="5" t="s">
        <v>17</v>
      </c>
      <c r="F121" s="6">
        <f>SUMIF('MS SAP Dump'!$F$2:$F$603,$A121,'MS SAP Dump'!$D$2:$D$603)</f>
        <v>13.5</v>
      </c>
      <c r="G121" s="6">
        <v>132</v>
      </c>
      <c r="H121" s="6">
        <f>SUMIF('HSD SAP Dump'!$F$2:$F$602,$A121,'HSD SAP Dump'!$D$2:$D$602)</f>
        <v>134.5</v>
      </c>
      <c r="I121" s="6">
        <v>132</v>
      </c>
    </row>
    <row r="122" spans="1:9" x14ac:dyDescent="0.35">
      <c r="A122" s="2">
        <v>192255</v>
      </c>
      <c r="B122" s="3" t="s">
        <v>140</v>
      </c>
      <c r="C122" s="2" t="s">
        <v>6</v>
      </c>
      <c r="D122" s="4" t="s">
        <v>26</v>
      </c>
      <c r="E122" s="5" t="s">
        <v>17</v>
      </c>
      <c r="F122" s="6">
        <f>SUMIF('MS SAP Dump'!$F$2:$F$603,$A122,'MS SAP Dump'!$D$2:$D$603)</f>
        <v>60</v>
      </c>
      <c r="G122" s="6">
        <v>104</v>
      </c>
      <c r="H122" s="6">
        <f>SUMIF('HSD SAP Dump'!$F$2:$F$602,$A122,'HSD SAP Dump'!$D$2:$D$602)</f>
        <v>100</v>
      </c>
      <c r="I122" s="6">
        <v>104</v>
      </c>
    </row>
    <row r="123" spans="1:9" x14ac:dyDescent="0.35">
      <c r="A123" s="2">
        <v>192256</v>
      </c>
      <c r="B123" s="3" t="s">
        <v>141</v>
      </c>
      <c r="C123" s="2" t="s">
        <v>6</v>
      </c>
      <c r="D123" s="4" t="s">
        <v>14</v>
      </c>
      <c r="E123" s="5" t="s">
        <v>8</v>
      </c>
      <c r="F123" s="6">
        <f>SUMIF('MS SAP Dump'!$F$2:$F$603,$A123,'MS SAP Dump'!$D$2:$D$603)</f>
        <v>194.5</v>
      </c>
      <c r="G123" s="6">
        <v>280</v>
      </c>
      <c r="H123" s="6">
        <f>SUMIF('HSD SAP Dump'!$F$2:$F$602,$A123,'HSD SAP Dump'!$D$2:$D$602)</f>
        <v>288.5</v>
      </c>
      <c r="I123" s="6">
        <v>280</v>
      </c>
    </row>
    <row r="124" spans="1:9" x14ac:dyDescent="0.35">
      <c r="A124" s="2">
        <v>192257</v>
      </c>
      <c r="B124" s="3" t="s">
        <v>142</v>
      </c>
      <c r="C124" s="2" t="s">
        <v>6</v>
      </c>
      <c r="D124" s="4" t="s">
        <v>12</v>
      </c>
      <c r="E124" s="5" t="s">
        <v>8</v>
      </c>
      <c r="F124" s="6">
        <f>SUMIF('MS SAP Dump'!$F$2:$F$603,$A124,'MS SAP Dump'!$D$2:$D$603)</f>
        <v>189</v>
      </c>
      <c r="G124" s="6">
        <v>141</v>
      </c>
      <c r="H124" s="6">
        <f>SUMIF('HSD SAP Dump'!$F$2:$F$602,$A124,'HSD SAP Dump'!$D$2:$D$602)</f>
        <v>183</v>
      </c>
      <c r="I124" s="6">
        <v>141</v>
      </c>
    </row>
    <row r="125" spans="1:9" x14ac:dyDescent="0.35">
      <c r="A125" s="2">
        <v>192259</v>
      </c>
      <c r="B125" s="3" t="s">
        <v>143</v>
      </c>
      <c r="C125" s="2" t="s">
        <v>6</v>
      </c>
      <c r="D125" s="4" t="s">
        <v>12</v>
      </c>
      <c r="E125" s="5" t="s">
        <v>8</v>
      </c>
      <c r="F125" s="6">
        <f>SUMIF('MS SAP Dump'!$F$2:$F$603,$A125,'MS SAP Dump'!$D$2:$D$603)</f>
        <v>292</v>
      </c>
      <c r="G125" s="6">
        <v>0</v>
      </c>
      <c r="H125" s="6">
        <f>SUMIF('HSD SAP Dump'!$F$2:$F$602,$A125,'HSD SAP Dump'!$D$2:$D$602)</f>
        <v>0</v>
      </c>
      <c r="I125" s="6">
        <v>0</v>
      </c>
    </row>
    <row r="126" spans="1:9" x14ac:dyDescent="0.35">
      <c r="A126" s="2">
        <v>192260</v>
      </c>
      <c r="B126" s="3" t="s">
        <v>144</v>
      </c>
      <c r="C126" s="2" t="s">
        <v>6</v>
      </c>
      <c r="D126" s="4" t="s">
        <v>12</v>
      </c>
      <c r="E126" s="5" t="s">
        <v>8</v>
      </c>
      <c r="F126" s="6">
        <f>SUMIF('MS SAP Dump'!$F$2:$F$603,$A126,'MS SAP Dump'!$D$2:$D$603)</f>
        <v>248</v>
      </c>
      <c r="G126" s="6">
        <v>60</v>
      </c>
      <c r="H126" s="6">
        <f>SUMIF('HSD SAP Dump'!$F$2:$F$602,$A126,'HSD SAP Dump'!$D$2:$D$602)</f>
        <v>56</v>
      </c>
      <c r="I126" s="6">
        <v>60</v>
      </c>
    </row>
    <row r="127" spans="1:9" x14ac:dyDescent="0.35">
      <c r="A127" s="2">
        <v>192262</v>
      </c>
      <c r="B127" s="3" t="s">
        <v>145</v>
      </c>
      <c r="C127" s="2" t="s">
        <v>6</v>
      </c>
      <c r="D127" s="4" t="s">
        <v>12</v>
      </c>
      <c r="E127" s="5" t="s">
        <v>8</v>
      </c>
      <c r="F127" s="6">
        <f>SUMIF('MS SAP Dump'!$F$2:$F$603,$A127,'MS SAP Dump'!$D$2:$D$603)</f>
        <v>96</v>
      </c>
      <c r="G127" s="6">
        <v>0</v>
      </c>
      <c r="H127" s="6">
        <f>SUMIF('HSD SAP Dump'!$F$2:$F$602,$A127,'HSD SAP Dump'!$D$2:$D$602)</f>
        <v>0</v>
      </c>
      <c r="I127" s="6">
        <v>0</v>
      </c>
    </row>
    <row r="128" spans="1:9" x14ac:dyDescent="0.35">
      <c r="A128" s="2">
        <v>192263</v>
      </c>
      <c r="B128" s="3" t="s">
        <v>146</v>
      </c>
      <c r="C128" s="2" t="s">
        <v>6</v>
      </c>
      <c r="D128" s="4" t="s">
        <v>10</v>
      </c>
      <c r="E128" s="5" t="s">
        <v>8</v>
      </c>
      <c r="F128" s="6">
        <f>SUMIF('MS SAP Dump'!$F$2:$F$603,$A128,'MS SAP Dump'!$D$2:$D$603)</f>
        <v>35</v>
      </c>
      <c r="G128" s="6">
        <v>395</v>
      </c>
      <c r="H128" s="6">
        <f>SUMIF('HSD SAP Dump'!$F$2:$F$602,$A128,'HSD SAP Dump'!$D$2:$D$602)</f>
        <v>465</v>
      </c>
      <c r="I128" s="6">
        <v>395</v>
      </c>
    </row>
    <row r="129" spans="1:9" x14ac:dyDescent="0.35">
      <c r="A129" s="2">
        <v>192265</v>
      </c>
      <c r="B129" s="3" t="s">
        <v>147</v>
      </c>
      <c r="C129" s="2" t="s">
        <v>6</v>
      </c>
      <c r="D129" s="4" t="s">
        <v>12</v>
      </c>
      <c r="E129" s="5" t="s">
        <v>8</v>
      </c>
      <c r="F129" s="6">
        <f>SUMIF('MS SAP Dump'!$F$2:$F$603,$A129,'MS SAP Dump'!$D$2:$D$603)</f>
        <v>135</v>
      </c>
      <c r="G129" s="6">
        <v>45</v>
      </c>
      <c r="H129" s="6">
        <f>SUMIF('HSD SAP Dump'!$F$2:$F$602,$A129,'HSD SAP Dump'!$D$2:$D$602)</f>
        <v>53</v>
      </c>
      <c r="I129" s="6">
        <v>45</v>
      </c>
    </row>
    <row r="130" spans="1:9" x14ac:dyDescent="0.35">
      <c r="A130" s="2">
        <v>192267</v>
      </c>
      <c r="B130" s="3" t="s">
        <v>148</v>
      </c>
      <c r="C130" s="2" t="s">
        <v>6</v>
      </c>
      <c r="D130" s="4" t="s">
        <v>12</v>
      </c>
      <c r="E130" s="5" t="s">
        <v>8</v>
      </c>
      <c r="F130" s="6">
        <f>SUMIF('MS SAP Dump'!$F$2:$F$603,$A130,'MS SAP Dump'!$D$2:$D$603)</f>
        <v>213.5</v>
      </c>
      <c r="G130" s="6">
        <v>35</v>
      </c>
      <c r="H130" s="6">
        <f>SUMIF('HSD SAP Dump'!$F$2:$F$602,$A130,'HSD SAP Dump'!$D$2:$D$602)</f>
        <v>52.5</v>
      </c>
      <c r="I130" s="6">
        <v>35</v>
      </c>
    </row>
    <row r="131" spans="1:9" x14ac:dyDescent="0.35">
      <c r="A131" s="2">
        <v>192268</v>
      </c>
      <c r="B131" s="3" t="s">
        <v>149</v>
      </c>
      <c r="C131" s="2" t="s">
        <v>6</v>
      </c>
      <c r="D131" s="4" t="s">
        <v>12</v>
      </c>
      <c r="E131" s="5" t="s">
        <v>8</v>
      </c>
      <c r="F131" s="6">
        <f>SUMIF('MS SAP Dump'!$F$2:$F$603,$A131,'MS SAP Dump'!$D$2:$D$603)</f>
        <v>328</v>
      </c>
      <c r="G131" s="6">
        <v>124</v>
      </c>
      <c r="H131" s="6">
        <f>SUMIF('HSD SAP Dump'!$F$2:$F$602,$A131,'HSD SAP Dump'!$D$2:$D$602)</f>
        <v>156</v>
      </c>
      <c r="I131" s="6">
        <v>124</v>
      </c>
    </row>
    <row r="132" spans="1:9" x14ac:dyDescent="0.35">
      <c r="A132" s="2">
        <v>192269</v>
      </c>
      <c r="B132" s="3" t="s">
        <v>150</v>
      </c>
      <c r="C132" s="2" t="s">
        <v>6</v>
      </c>
      <c r="D132" s="4" t="s">
        <v>47</v>
      </c>
      <c r="E132" s="5" t="s">
        <v>8</v>
      </c>
      <c r="F132" s="6">
        <f>SUMIF('MS SAP Dump'!$F$2:$F$603,$A132,'MS SAP Dump'!$D$2:$D$603)</f>
        <v>60.5</v>
      </c>
      <c r="G132" s="6">
        <v>118</v>
      </c>
      <c r="H132" s="6">
        <f>SUMIF('HSD SAP Dump'!$F$2:$F$602,$A132,'HSD SAP Dump'!$D$2:$D$602)</f>
        <v>133.5</v>
      </c>
      <c r="I132" s="6">
        <v>118</v>
      </c>
    </row>
    <row r="133" spans="1:9" x14ac:dyDescent="0.35">
      <c r="A133" s="2">
        <v>192271</v>
      </c>
      <c r="B133" s="3" t="s">
        <v>151</v>
      </c>
      <c r="C133" s="2" t="s">
        <v>6</v>
      </c>
      <c r="D133" s="4" t="s">
        <v>39</v>
      </c>
      <c r="E133" s="5" t="s">
        <v>40</v>
      </c>
      <c r="F133" s="6">
        <f>SUMIF('MS SAP Dump'!$F$2:$F$603,$A133,'MS SAP Dump'!$D$2:$D$603)</f>
        <v>12</v>
      </c>
      <c r="G133" s="6">
        <v>24</v>
      </c>
      <c r="H133" s="6">
        <f>SUMIF('HSD SAP Dump'!$F$2:$F$602,$A133,'HSD SAP Dump'!$D$2:$D$602)</f>
        <v>12</v>
      </c>
      <c r="I133" s="6">
        <v>24</v>
      </c>
    </row>
    <row r="134" spans="1:9" x14ac:dyDescent="0.35">
      <c r="A134" s="2">
        <v>192273</v>
      </c>
      <c r="B134" s="3" t="s">
        <v>152</v>
      </c>
      <c r="C134" s="2" t="s">
        <v>6</v>
      </c>
      <c r="D134" s="4" t="s">
        <v>39</v>
      </c>
      <c r="E134" s="5" t="s">
        <v>40</v>
      </c>
      <c r="F134" s="6">
        <f>SUMIF('MS SAP Dump'!$F$2:$F$603,$A134,'MS SAP Dump'!$D$2:$D$603)</f>
        <v>7</v>
      </c>
      <c r="G134" s="6">
        <v>0</v>
      </c>
      <c r="H134" s="6">
        <f>SUMIF('HSD SAP Dump'!$F$2:$F$602,$A134,'HSD SAP Dump'!$D$2:$D$602)</f>
        <v>7</v>
      </c>
      <c r="I134" s="6">
        <v>0</v>
      </c>
    </row>
    <row r="135" spans="1:9" x14ac:dyDescent="0.35">
      <c r="A135" s="2">
        <v>192656</v>
      </c>
      <c r="B135" s="3" t="s">
        <v>153</v>
      </c>
      <c r="C135" s="2" t="s">
        <v>6</v>
      </c>
      <c r="D135" s="4" t="s">
        <v>39</v>
      </c>
      <c r="E135" s="5" t="s">
        <v>40</v>
      </c>
      <c r="F135" s="6">
        <f>SUMIF('MS SAP Dump'!$F$2:$F$603,$A135,'MS SAP Dump'!$D$2:$D$603)</f>
        <v>87.5</v>
      </c>
      <c r="G135" s="6">
        <v>69</v>
      </c>
      <c r="H135" s="6">
        <f>SUMIF('HSD SAP Dump'!$F$2:$F$602,$A135,'HSD SAP Dump'!$D$2:$D$602)</f>
        <v>66.5</v>
      </c>
      <c r="I135" s="6">
        <v>69</v>
      </c>
    </row>
    <row r="136" spans="1:9" x14ac:dyDescent="0.35">
      <c r="A136" s="2">
        <v>192876</v>
      </c>
      <c r="B136" s="3" t="s">
        <v>154</v>
      </c>
      <c r="C136" s="2" t="s">
        <v>6</v>
      </c>
      <c r="D136" s="4" t="s">
        <v>52</v>
      </c>
      <c r="E136" s="5" t="s">
        <v>8</v>
      </c>
      <c r="F136" s="6">
        <f>SUMIF('MS SAP Dump'!$F$2:$F$603,$A136,'MS SAP Dump'!$D$2:$D$603)</f>
        <v>60</v>
      </c>
      <c r="G136" s="6">
        <v>111</v>
      </c>
      <c r="H136" s="6">
        <f>SUMIF('HSD SAP Dump'!$F$2:$F$602,$A136,'HSD SAP Dump'!$D$2:$D$602)</f>
        <v>120</v>
      </c>
      <c r="I136" s="6">
        <v>111</v>
      </c>
    </row>
    <row r="137" spans="1:9" x14ac:dyDescent="0.35">
      <c r="A137" s="2">
        <v>192877</v>
      </c>
      <c r="B137" s="3" t="s">
        <v>155</v>
      </c>
      <c r="C137" s="2" t="s">
        <v>6</v>
      </c>
      <c r="D137" s="4" t="s">
        <v>10</v>
      </c>
      <c r="E137" s="5" t="s">
        <v>8</v>
      </c>
      <c r="F137" s="6">
        <f>SUMIF('MS SAP Dump'!$F$2:$F$603,$A137,'MS SAP Dump'!$D$2:$D$603)</f>
        <v>300</v>
      </c>
      <c r="G137" s="6">
        <v>120</v>
      </c>
      <c r="H137" s="6">
        <f>SUMIF('HSD SAP Dump'!$F$2:$F$602,$A137,'HSD SAP Dump'!$D$2:$D$602)</f>
        <v>105</v>
      </c>
      <c r="I137" s="6">
        <v>120</v>
      </c>
    </row>
    <row r="138" spans="1:9" x14ac:dyDescent="0.35">
      <c r="A138" s="2">
        <v>193203</v>
      </c>
      <c r="B138" s="3" t="s">
        <v>156</v>
      </c>
      <c r="C138" s="2" t="s">
        <v>6</v>
      </c>
      <c r="D138" s="4" t="s">
        <v>52</v>
      </c>
      <c r="E138" s="5" t="s">
        <v>8</v>
      </c>
      <c r="F138" s="6">
        <f>SUMIF('MS SAP Dump'!$F$2:$F$603,$A138,'MS SAP Dump'!$D$2:$D$603)</f>
        <v>58</v>
      </c>
      <c r="G138" s="6">
        <v>845</v>
      </c>
      <c r="H138" s="6">
        <f>SUMIF('HSD SAP Dump'!$F$2:$F$602,$A138,'HSD SAP Dump'!$D$2:$D$602)</f>
        <v>833</v>
      </c>
      <c r="I138" s="6">
        <v>845</v>
      </c>
    </row>
    <row r="139" spans="1:9" x14ac:dyDescent="0.35">
      <c r="A139" s="2">
        <v>193205</v>
      </c>
      <c r="B139" s="3" t="s">
        <v>157</v>
      </c>
      <c r="C139" s="2" t="s">
        <v>6</v>
      </c>
      <c r="D139" s="4" t="s">
        <v>52</v>
      </c>
      <c r="E139" s="5" t="s">
        <v>8</v>
      </c>
      <c r="F139" s="6">
        <f>SUMIF('MS SAP Dump'!$F$2:$F$603,$A139,'MS SAP Dump'!$D$2:$D$603)</f>
        <v>24</v>
      </c>
      <c r="G139" s="6">
        <v>172</v>
      </c>
      <c r="H139" s="6">
        <f>SUMIF('HSD SAP Dump'!$F$2:$F$602,$A139,'HSD SAP Dump'!$D$2:$D$602)</f>
        <v>158</v>
      </c>
      <c r="I139" s="6">
        <v>172</v>
      </c>
    </row>
    <row r="140" spans="1:9" x14ac:dyDescent="0.35">
      <c r="A140" s="2">
        <v>194146</v>
      </c>
      <c r="B140" s="3" t="s">
        <v>158</v>
      </c>
      <c r="C140" s="2" t="s">
        <v>6</v>
      </c>
      <c r="D140" s="4" t="s">
        <v>12</v>
      </c>
      <c r="E140" s="5" t="s">
        <v>8</v>
      </c>
      <c r="F140" s="6">
        <f>SUMIF('MS SAP Dump'!$F$2:$F$603,$A140,'MS SAP Dump'!$D$2:$D$603)</f>
        <v>335</v>
      </c>
      <c r="G140" s="6">
        <v>295</v>
      </c>
      <c r="H140" s="6">
        <f>SUMIF('HSD SAP Dump'!$F$2:$F$602,$A140,'HSD SAP Dump'!$D$2:$D$602)</f>
        <v>285</v>
      </c>
      <c r="I140" s="6">
        <v>295</v>
      </c>
    </row>
    <row r="141" spans="1:9" x14ac:dyDescent="0.35">
      <c r="A141" s="2">
        <v>194558</v>
      </c>
      <c r="B141" s="3" t="s">
        <v>159</v>
      </c>
      <c r="C141" s="2" t="s">
        <v>6</v>
      </c>
      <c r="D141" s="4" t="s">
        <v>10</v>
      </c>
      <c r="E141" s="5" t="s">
        <v>8</v>
      </c>
      <c r="F141" s="6">
        <f>SUMIF('MS SAP Dump'!$F$2:$F$603,$A141,'MS SAP Dump'!$D$2:$D$603)</f>
        <v>70</v>
      </c>
      <c r="G141" s="6">
        <v>130</v>
      </c>
      <c r="H141" s="6">
        <f>SUMIF('HSD SAP Dump'!$F$2:$F$602,$A141,'HSD SAP Dump'!$D$2:$D$602)</f>
        <v>252</v>
      </c>
      <c r="I141" s="6">
        <v>130</v>
      </c>
    </row>
    <row r="142" spans="1:9" x14ac:dyDescent="0.35">
      <c r="A142" s="2">
        <v>194979</v>
      </c>
      <c r="B142" s="3" t="s">
        <v>160</v>
      </c>
      <c r="C142" s="2" t="s">
        <v>6</v>
      </c>
      <c r="D142" s="4" t="s">
        <v>44</v>
      </c>
      <c r="E142" s="5" t="s">
        <v>40</v>
      </c>
      <c r="F142" s="6">
        <f>SUMIF('MS SAP Dump'!$F$2:$F$603,$A142,'MS SAP Dump'!$D$2:$D$603)</f>
        <v>43</v>
      </c>
      <c r="G142" s="6">
        <v>86</v>
      </c>
      <c r="H142" s="6">
        <f>SUMIF('HSD SAP Dump'!$F$2:$F$602,$A142,'HSD SAP Dump'!$D$2:$D$602)</f>
        <v>67</v>
      </c>
      <c r="I142" s="6">
        <v>86</v>
      </c>
    </row>
    <row r="143" spans="1:9" x14ac:dyDescent="0.35">
      <c r="A143" s="2">
        <v>195390</v>
      </c>
      <c r="B143" s="3" t="s">
        <v>161</v>
      </c>
      <c r="C143" s="2" t="s">
        <v>6</v>
      </c>
      <c r="D143" s="4" t="s">
        <v>39</v>
      </c>
      <c r="E143" s="5" t="s">
        <v>40</v>
      </c>
      <c r="F143" s="6">
        <f>SUMIF('MS SAP Dump'!$F$2:$F$603,$A143,'MS SAP Dump'!$D$2:$D$603)</f>
        <v>46.5</v>
      </c>
      <c r="G143" s="6">
        <v>91.5</v>
      </c>
      <c r="H143" s="6">
        <f>SUMIF('HSD SAP Dump'!$F$2:$F$602,$A143,'HSD SAP Dump'!$D$2:$D$602)</f>
        <v>133.5</v>
      </c>
      <c r="I143" s="6">
        <v>91.5</v>
      </c>
    </row>
    <row r="144" spans="1:9" x14ac:dyDescent="0.35">
      <c r="A144" s="2">
        <v>195500</v>
      </c>
      <c r="B144" s="3" t="s">
        <v>162</v>
      </c>
      <c r="C144" s="2" t="s">
        <v>6</v>
      </c>
      <c r="D144" s="4" t="s">
        <v>44</v>
      </c>
      <c r="E144" s="5" t="s">
        <v>40</v>
      </c>
      <c r="F144" s="6">
        <f>SUMIF('MS SAP Dump'!$F$2:$F$603,$A144,'MS SAP Dump'!$D$2:$D$603)</f>
        <v>0</v>
      </c>
      <c r="G144" s="6">
        <v>0</v>
      </c>
      <c r="H144" s="6">
        <f>SUMIF('HSD SAP Dump'!$F$2:$F$602,$A144,'HSD SAP Dump'!$D$2:$D$602)</f>
        <v>0</v>
      </c>
      <c r="I144" s="6">
        <v>0</v>
      </c>
    </row>
    <row r="145" spans="1:9" x14ac:dyDescent="0.35">
      <c r="A145" s="2">
        <v>195588</v>
      </c>
      <c r="B145" s="3" t="s">
        <v>163</v>
      </c>
      <c r="C145" s="2" t="s">
        <v>6</v>
      </c>
      <c r="D145" s="4" t="s">
        <v>16</v>
      </c>
      <c r="E145" s="5" t="s">
        <v>17</v>
      </c>
      <c r="F145" s="6">
        <f>SUMIF('MS SAP Dump'!$F$2:$F$603,$A145,'MS SAP Dump'!$D$2:$D$603)</f>
        <v>0</v>
      </c>
      <c r="G145" s="6">
        <v>150</v>
      </c>
      <c r="H145" s="6">
        <f>SUMIF('HSD SAP Dump'!$F$2:$F$602,$A145,'HSD SAP Dump'!$D$2:$D$602)</f>
        <v>0</v>
      </c>
      <c r="I145" s="6">
        <v>150</v>
      </c>
    </row>
    <row r="146" spans="1:9" x14ac:dyDescent="0.35">
      <c r="A146" s="2">
        <v>195653</v>
      </c>
      <c r="B146" s="3" t="s">
        <v>164</v>
      </c>
      <c r="C146" s="2" t="s">
        <v>6</v>
      </c>
      <c r="D146" s="4" t="s">
        <v>7</v>
      </c>
      <c r="E146" s="5" t="s">
        <v>8</v>
      </c>
      <c r="F146" s="6">
        <f>SUMIF('MS SAP Dump'!$F$2:$F$603,$A146,'MS SAP Dump'!$D$2:$D$603)</f>
        <v>24</v>
      </c>
      <c r="G146" s="6">
        <v>39</v>
      </c>
      <c r="H146" s="6">
        <f>SUMIF('HSD SAP Dump'!$F$2:$F$602,$A146,'HSD SAP Dump'!$D$2:$D$602)</f>
        <v>48</v>
      </c>
      <c r="I146" s="6">
        <v>39</v>
      </c>
    </row>
    <row r="147" spans="1:9" x14ac:dyDescent="0.35">
      <c r="A147" s="2">
        <v>196164</v>
      </c>
      <c r="B147" s="3" t="s">
        <v>165</v>
      </c>
      <c r="C147" s="2" t="s">
        <v>6</v>
      </c>
      <c r="D147" s="4" t="s">
        <v>19</v>
      </c>
      <c r="E147" s="5" t="s">
        <v>17</v>
      </c>
      <c r="F147" s="6">
        <f>SUMIF('MS SAP Dump'!$F$2:$F$603,$A147,'MS SAP Dump'!$D$2:$D$603)</f>
        <v>24</v>
      </c>
      <c r="G147" s="6">
        <v>79.5</v>
      </c>
      <c r="H147" s="6">
        <f>SUMIF('HSD SAP Dump'!$F$2:$F$602,$A147,'HSD SAP Dump'!$D$2:$D$602)</f>
        <v>48</v>
      </c>
      <c r="I147" s="6">
        <v>79.5</v>
      </c>
    </row>
    <row r="148" spans="1:9" x14ac:dyDescent="0.35">
      <c r="A148" s="2">
        <v>196197</v>
      </c>
      <c r="B148" s="3" t="s">
        <v>166</v>
      </c>
      <c r="C148" s="2" t="s">
        <v>6</v>
      </c>
      <c r="D148" s="4" t="s">
        <v>16</v>
      </c>
      <c r="E148" s="5" t="s">
        <v>17</v>
      </c>
      <c r="F148" s="6">
        <f>SUMIF('MS SAP Dump'!$F$2:$F$603,$A148,'MS SAP Dump'!$D$2:$D$603)</f>
        <v>26</v>
      </c>
      <c r="G148" s="6">
        <v>45</v>
      </c>
      <c r="H148" s="6">
        <f>SUMIF('HSD SAP Dump'!$F$2:$F$602,$A148,'HSD SAP Dump'!$D$2:$D$602)</f>
        <v>158</v>
      </c>
      <c r="I148" s="6">
        <v>45</v>
      </c>
    </row>
    <row r="149" spans="1:9" x14ac:dyDescent="0.35">
      <c r="A149" s="2">
        <v>197572</v>
      </c>
      <c r="B149" s="3" t="s">
        <v>167</v>
      </c>
      <c r="C149" s="2" t="s">
        <v>6</v>
      </c>
      <c r="D149" s="4" t="s">
        <v>14</v>
      </c>
      <c r="E149" s="5" t="s">
        <v>8</v>
      </c>
      <c r="F149" s="6">
        <f>SUMIF('MS SAP Dump'!$F$2:$F$603,$A149,'MS SAP Dump'!$D$2:$D$603)</f>
        <v>76.5</v>
      </c>
      <c r="G149" s="6">
        <v>58.5</v>
      </c>
      <c r="H149" s="6">
        <f>SUMIF('HSD SAP Dump'!$F$2:$F$602,$A149,'HSD SAP Dump'!$D$2:$D$602)</f>
        <v>67.5</v>
      </c>
      <c r="I149" s="6">
        <v>58.5</v>
      </c>
    </row>
    <row r="150" spans="1:9" x14ac:dyDescent="0.35">
      <c r="A150" s="2">
        <v>197645</v>
      </c>
      <c r="B150" s="3" t="s">
        <v>168</v>
      </c>
      <c r="C150" s="2" t="s">
        <v>6</v>
      </c>
      <c r="D150" s="4" t="s">
        <v>14</v>
      </c>
      <c r="E150" s="5" t="s">
        <v>8</v>
      </c>
      <c r="F150" s="6">
        <f>SUMIF('MS SAP Dump'!$F$2:$F$603,$A150,'MS SAP Dump'!$D$2:$D$603)</f>
        <v>115</v>
      </c>
      <c r="G150" s="6">
        <v>0</v>
      </c>
      <c r="H150" s="6">
        <f>SUMIF('HSD SAP Dump'!$F$2:$F$602,$A150,'HSD SAP Dump'!$D$2:$D$602)</f>
        <v>138</v>
      </c>
      <c r="I150" s="6">
        <v>0</v>
      </c>
    </row>
    <row r="151" spans="1:9" x14ac:dyDescent="0.35">
      <c r="A151" s="2">
        <v>197680</v>
      </c>
      <c r="B151" s="3" t="s">
        <v>169</v>
      </c>
      <c r="C151" s="2" t="s">
        <v>6</v>
      </c>
      <c r="D151" s="4" t="s">
        <v>26</v>
      </c>
      <c r="E151" s="5" t="s">
        <v>17</v>
      </c>
      <c r="F151" s="6">
        <f>SUMIF('MS SAP Dump'!$F$2:$F$603,$A151,'MS SAP Dump'!$D$2:$D$603)</f>
        <v>120</v>
      </c>
      <c r="G151" s="6">
        <v>175</v>
      </c>
      <c r="H151" s="6">
        <f>SUMIF('HSD SAP Dump'!$F$2:$F$602,$A151,'HSD SAP Dump'!$D$2:$D$602)</f>
        <v>160</v>
      </c>
      <c r="I151" s="6">
        <v>175</v>
      </c>
    </row>
    <row r="152" spans="1:9" x14ac:dyDescent="0.35">
      <c r="A152" s="2">
        <v>197895</v>
      </c>
      <c r="B152" s="3" t="s">
        <v>170</v>
      </c>
      <c r="C152" s="2" t="s">
        <v>6</v>
      </c>
      <c r="D152" s="4" t="s">
        <v>12</v>
      </c>
      <c r="E152" s="5" t="s">
        <v>8</v>
      </c>
      <c r="F152" s="6">
        <f>SUMIF('MS SAP Dump'!$F$2:$F$603,$A152,'MS SAP Dump'!$D$2:$D$603)</f>
        <v>0</v>
      </c>
      <c r="G152" s="6">
        <v>0</v>
      </c>
      <c r="H152" s="6">
        <f>SUMIF('HSD SAP Dump'!$F$2:$F$602,$A152,'HSD SAP Dump'!$D$2:$D$602)</f>
        <v>0</v>
      </c>
      <c r="I152" s="6">
        <v>0</v>
      </c>
    </row>
    <row r="153" spans="1:9" x14ac:dyDescent="0.35">
      <c r="A153" s="2">
        <v>198477</v>
      </c>
      <c r="B153" s="3" t="s">
        <v>171</v>
      </c>
      <c r="C153" s="2" t="s">
        <v>6</v>
      </c>
      <c r="D153" s="4" t="s">
        <v>39</v>
      </c>
      <c r="E153" s="5" t="s">
        <v>40</v>
      </c>
      <c r="F153" s="6">
        <f>SUMIF('MS SAP Dump'!$F$2:$F$603,$A153,'MS SAP Dump'!$D$2:$D$603)</f>
        <v>18</v>
      </c>
      <c r="G153" s="6">
        <v>60</v>
      </c>
      <c r="H153" s="6">
        <f>SUMIF('HSD SAP Dump'!$F$2:$F$602,$A153,'HSD SAP Dump'!$D$2:$D$602)</f>
        <v>54</v>
      </c>
      <c r="I153" s="6">
        <v>60</v>
      </c>
    </row>
    <row r="154" spans="1:9" x14ac:dyDescent="0.35">
      <c r="A154" s="2">
        <v>198744</v>
      </c>
      <c r="B154" s="3" t="s">
        <v>172</v>
      </c>
      <c r="C154" s="2" t="s">
        <v>6</v>
      </c>
      <c r="D154" s="4" t="s">
        <v>26</v>
      </c>
      <c r="E154" s="5" t="s">
        <v>17</v>
      </c>
      <c r="F154" s="6">
        <f>SUMIF('MS SAP Dump'!$F$2:$F$603,$A154,'MS SAP Dump'!$D$2:$D$603)</f>
        <v>37</v>
      </c>
      <c r="G154" s="6">
        <v>34</v>
      </c>
      <c r="H154" s="6">
        <f>SUMIF('HSD SAP Dump'!$F$2:$F$602,$A154,'HSD SAP Dump'!$D$2:$D$602)</f>
        <v>31</v>
      </c>
      <c r="I154" s="6">
        <v>34</v>
      </c>
    </row>
    <row r="155" spans="1:9" x14ac:dyDescent="0.35">
      <c r="A155" s="2">
        <v>202488</v>
      </c>
      <c r="B155" s="3" t="s">
        <v>173</v>
      </c>
      <c r="C155" s="2" t="s">
        <v>6</v>
      </c>
      <c r="D155" s="4" t="s">
        <v>10</v>
      </c>
      <c r="E155" s="5" t="s">
        <v>8</v>
      </c>
      <c r="F155" s="6">
        <f>SUMIF('MS SAP Dump'!$F$2:$F$603,$A155,'MS SAP Dump'!$D$2:$D$603)</f>
        <v>175</v>
      </c>
      <c r="G155" s="6">
        <v>86</v>
      </c>
      <c r="H155" s="6">
        <f>SUMIF('HSD SAP Dump'!$F$2:$F$602,$A155,'HSD SAP Dump'!$D$2:$D$602)</f>
        <v>141</v>
      </c>
      <c r="I155" s="6">
        <v>86</v>
      </c>
    </row>
    <row r="156" spans="1:9" x14ac:dyDescent="0.35">
      <c r="A156" s="2">
        <v>202494</v>
      </c>
      <c r="B156" s="3" t="s">
        <v>174</v>
      </c>
      <c r="C156" s="2" t="s">
        <v>6</v>
      </c>
      <c r="D156" s="4" t="s">
        <v>26</v>
      </c>
      <c r="E156" s="5" t="s">
        <v>17</v>
      </c>
      <c r="F156" s="6">
        <f>SUMIF('MS SAP Dump'!$F$2:$F$603,$A156,'MS SAP Dump'!$D$2:$D$603)</f>
        <v>3</v>
      </c>
      <c r="G156" s="6">
        <v>78</v>
      </c>
      <c r="H156" s="6">
        <f>SUMIF('HSD SAP Dump'!$F$2:$F$602,$A156,'HSD SAP Dump'!$D$2:$D$602)</f>
        <v>33</v>
      </c>
      <c r="I156" s="6">
        <v>78</v>
      </c>
    </row>
    <row r="157" spans="1:9" x14ac:dyDescent="0.35">
      <c r="A157" s="2">
        <v>202941</v>
      </c>
      <c r="B157" s="3" t="s">
        <v>175</v>
      </c>
      <c r="C157" s="2" t="s">
        <v>6</v>
      </c>
      <c r="D157" s="4" t="s">
        <v>12</v>
      </c>
      <c r="E157" s="5" t="s">
        <v>8</v>
      </c>
      <c r="F157" s="6">
        <f>SUMIF('MS SAP Dump'!$F$2:$F$603,$A157,'MS SAP Dump'!$D$2:$D$603)</f>
        <v>0</v>
      </c>
      <c r="G157" s="6">
        <v>0</v>
      </c>
      <c r="H157" s="6">
        <f>SUMIF('HSD SAP Dump'!$F$2:$F$602,$A157,'HSD SAP Dump'!$D$2:$D$602)</f>
        <v>0</v>
      </c>
      <c r="I157" s="6">
        <v>0</v>
      </c>
    </row>
    <row r="158" spans="1:9" x14ac:dyDescent="0.35">
      <c r="A158" s="2">
        <v>203201</v>
      </c>
      <c r="B158" s="3" t="s">
        <v>176</v>
      </c>
      <c r="C158" s="2" t="s">
        <v>6</v>
      </c>
      <c r="D158" s="4" t="s">
        <v>52</v>
      </c>
      <c r="E158" s="5" t="s">
        <v>8</v>
      </c>
      <c r="F158" s="6">
        <f>SUMIF('MS SAP Dump'!$F$2:$F$603,$A158,'MS SAP Dump'!$D$2:$D$603)</f>
        <v>60.5</v>
      </c>
      <c r="G158" s="6">
        <v>399.5</v>
      </c>
      <c r="H158" s="6">
        <f>SUMIF('HSD SAP Dump'!$F$2:$F$602,$A158,'HSD SAP Dump'!$D$2:$D$602)</f>
        <v>474.5</v>
      </c>
      <c r="I158" s="6">
        <v>399.5</v>
      </c>
    </row>
    <row r="159" spans="1:9" x14ac:dyDescent="0.35">
      <c r="A159" s="2">
        <v>203450</v>
      </c>
      <c r="B159" s="3" t="s">
        <v>177</v>
      </c>
      <c r="C159" s="2" t="s">
        <v>6</v>
      </c>
      <c r="D159" s="4" t="s">
        <v>26</v>
      </c>
      <c r="E159" s="5" t="s">
        <v>17</v>
      </c>
      <c r="F159" s="6">
        <f>SUMIF('MS SAP Dump'!$F$2:$F$603,$A159,'MS SAP Dump'!$D$2:$D$603)</f>
        <v>20</v>
      </c>
      <c r="G159" s="6">
        <v>45</v>
      </c>
      <c r="H159" s="6">
        <f>SUMIF('HSD SAP Dump'!$F$2:$F$602,$A159,'HSD SAP Dump'!$D$2:$D$602)</f>
        <v>36</v>
      </c>
      <c r="I159" s="6">
        <v>45</v>
      </c>
    </row>
    <row r="160" spans="1:9" x14ac:dyDescent="0.35">
      <c r="A160" s="2">
        <v>204098</v>
      </c>
      <c r="B160" s="3" t="s">
        <v>178</v>
      </c>
      <c r="C160" s="2" t="s">
        <v>6</v>
      </c>
      <c r="D160" s="4" t="s">
        <v>52</v>
      </c>
      <c r="E160" s="5" t="s">
        <v>8</v>
      </c>
      <c r="F160" s="6">
        <f>SUMIF('MS SAP Dump'!$F$2:$F$603,$A160,'MS SAP Dump'!$D$2:$D$603)</f>
        <v>50</v>
      </c>
      <c r="G160" s="6">
        <v>104.5</v>
      </c>
      <c r="H160" s="6">
        <f>SUMIF('HSD SAP Dump'!$F$2:$F$602,$A160,'HSD SAP Dump'!$D$2:$D$602)</f>
        <v>70</v>
      </c>
      <c r="I160" s="6">
        <v>104.5</v>
      </c>
    </row>
    <row r="161" spans="1:9" x14ac:dyDescent="0.35">
      <c r="A161" s="2">
        <v>205829</v>
      </c>
      <c r="B161" s="3" t="s">
        <v>179</v>
      </c>
      <c r="C161" s="2" t="s">
        <v>6</v>
      </c>
      <c r="D161" s="4" t="s">
        <v>26</v>
      </c>
      <c r="E161" s="5" t="s">
        <v>17</v>
      </c>
      <c r="F161" s="6">
        <f>SUMIF('MS SAP Dump'!$F$2:$F$603,$A161,'MS SAP Dump'!$D$2:$D$603)</f>
        <v>70</v>
      </c>
      <c r="G161" s="6">
        <v>103</v>
      </c>
      <c r="H161" s="6">
        <f>SUMIF('HSD SAP Dump'!$F$2:$F$602,$A161,'HSD SAP Dump'!$D$2:$D$602)</f>
        <v>122</v>
      </c>
      <c r="I161" s="6">
        <v>103</v>
      </c>
    </row>
    <row r="162" spans="1:9" x14ac:dyDescent="0.35">
      <c r="A162" s="2">
        <v>205938</v>
      </c>
      <c r="B162" s="3" t="s">
        <v>180</v>
      </c>
      <c r="C162" s="2" t="s">
        <v>6</v>
      </c>
      <c r="D162" s="4" t="s">
        <v>26</v>
      </c>
      <c r="E162" s="5" t="s">
        <v>17</v>
      </c>
      <c r="F162" s="6">
        <f>SUMIF('MS SAP Dump'!$F$2:$F$603,$A162,'MS SAP Dump'!$D$2:$D$603)</f>
        <v>42</v>
      </c>
      <c r="G162" s="6">
        <v>48</v>
      </c>
      <c r="H162" s="6">
        <f>SUMIF('HSD SAP Dump'!$F$2:$F$602,$A162,'HSD SAP Dump'!$D$2:$D$602)</f>
        <v>42</v>
      </c>
      <c r="I162" s="6">
        <v>48</v>
      </c>
    </row>
    <row r="163" spans="1:9" x14ac:dyDescent="0.35">
      <c r="A163" s="2">
        <v>206324</v>
      </c>
      <c r="B163" s="3" t="s">
        <v>181</v>
      </c>
      <c r="C163" s="2" t="s">
        <v>6</v>
      </c>
      <c r="D163" s="4" t="s">
        <v>26</v>
      </c>
      <c r="E163" s="5" t="s">
        <v>17</v>
      </c>
      <c r="F163" s="6">
        <f>SUMIF('MS SAP Dump'!$F$2:$F$603,$A163,'MS SAP Dump'!$D$2:$D$603)</f>
        <v>27</v>
      </c>
      <c r="G163" s="6">
        <v>71</v>
      </c>
      <c r="H163" s="6">
        <f>SUMIF('HSD SAP Dump'!$F$2:$F$602,$A163,'HSD SAP Dump'!$D$2:$D$602)</f>
        <v>69</v>
      </c>
      <c r="I163" s="6">
        <v>71</v>
      </c>
    </row>
    <row r="164" spans="1:9" x14ac:dyDescent="0.35">
      <c r="A164" s="2">
        <v>208043</v>
      </c>
      <c r="B164" s="3" t="s">
        <v>182</v>
      </c>
      <c r="C164" s="2" t="s">
        <v>6</v>
      </c>
      <c r="D164" s="4" t="s">
        <v>10</v>
      </c>
      <c r="E164" s="5" t="s">
        <v>8</v>
      </c>
      <c r="F164" s="6">
        <f>SUMIF('MS SAP Dump'!$F$2:$F$603,$A164,'MS SAP Dump'!$D$2:$D$603)</f>
        <v>115</v>
      </c>
      <c r="G164" s="6">
        <v>63</v>
      </c>
      <c r="H164" s="6">
        <f>SUMIF('HSD SAP Dump'!$F$2:$F$602,$A164,'HSD SAP Dump'!$D$2:$D$602)</f>
        <v>93</v>
      </c>
      <c r="I164" s="6">
        <v>63</v>
      </c>
    </row>
    <row r="165" spans="1:9" x14ac:dyDescent="0.35">
      <c r="A165" s="2">
        <v>208063</v>
      </c>
      <c r="B165" s="3" t="s">
        <v>183</v>
      </c>
      <c r="C165" s="2" t="s">
        <v>6</v>
      </c>
      <c r="D165" s="4" t="s">
        <v>16</v>
      </c>
      <c r="E165" s="5" t="s">
        <v>17</v>
      </c>
      <c r="F165" s="6">
        <f>SUMIF('MS SAP Dump'!$F$2:$F$603,$A165,'MS SAP Dump'!$D$2:$D$603)</f>
        <v>98</v>
      </c>
      <c r="G165" s="6">
        <v>63</v>
      </c>
      <c r="H165" s="6">
        <f>SUMIF('HSD SAP Dump'!$F$2:$F$602,$A165,'HSD SAP Dump'!$D$2:$D$602)</f>
        <v>98</v>
      </c>
      <c r="I165" s="6">
        <v>63</v>
      </c>
    </row>
    <row r="166" spans="1:9" x14ac:dyDescent="0.35">
      <c r="A166" s="2">
        <v>208242</v>
      </c>
      <c r="B166" s="3" t="s">
        <v>184</v>
      </c>
      <c r="C166" s="2" t="s">
        <v>6</v>
      </c>
      <c r="D166" s="4" t="s">
        <v>16</v>
      </c>
      <c r="E166" s="5" t="s">
        <v>17</v>
      </c>
      <c r="F166" s="6">
        <f>SUMIF('MS SAP Dump'!$F$2:$F$603,$A166,'MS SAP Dump'!$D$2:$D$603)</f>
        <v>6</v>
      </c>
      <c r="G166" s="6">
        <v>24</v>
      </c>
      <c r="H166" s="6">
        <f>SUMIF('HSD SAP Dump'!$F$2:$F$602,$A166,'HSD SAP Dump'!$D$2:$D$602)</f>
        <v>6</v>
      </c>
      <c r="I166" s="6">
        <v>24</v>
      </c>
    </row>
    <row r="167" spans="1:9" x14ac:dyDescent="0.35">
      <c r="A167" s="2">
        <v>208865</v>
      </c>
      <c r="B167" s="3" t="s">
        <v>185</v>
      </c>
      <c r="C167" s="2" t="s">
        <v>6</v>
      </c>
      <c r="D167" s="4" t="s">
        <v>10</v>
      </c>
      <c r="E167" s="5" t="s">
        <v>8</v>
      </c>
      <c r="F167" s="6">
        <f>SUMIF('MS SAP Dump'!$F$2:$F$603,$A167,'MS SAP Dump'!$D$2:$D$603)</f>
        <v>45</v>
      </c>
      <c r="G167" s="6">
        <v>141</v>
      </c>
      <c r="H167" s="6">
        <f>SUMIF('HSD SAP Dump'!$F$2:$F$602,$A167,'HSD SAP Dump'!$D$2:$D$602)</f>
        <v>243</v>
      </c>
      <c r="I167" s="6">
        <v>141</v>
      </c>
    </row>
    <row r="168" spans="1:9" x14ac:dyDescent="0.35">
      <c r="A168" s="2">
        <v>208883</v>
      </c>
      <c r="B168" s="3" t="s">
        <v>186</v>
      </c>
      <c r="C168" s="2" t="s">
        <v>6</v>
      </c>
      <c r="D168" s="4" t="s">
        <v>10</v>
      </c>
      <c r="E168" s="5" t="s">
        <v>8</v>
      </c>
      <c r="F168" s="6">
        <f>SUMIF('MS SAP Dump'!$F$2:$F$603,$A168,'MS SAP Dump'!$D$2:$D$603)</f>
        <v>20</v>
      </c>
      <c r="G168" s="6">
        <v>706</v>
      </c>
      <c r="H168" s="6">
        <f>SUMIF('HSD SAP Dump'!$F$2:$F$602,$A168,'HSD SAP Dump'!$D$2:$D$602)</f>
        <v>762</v>
      </c>
      <c r="I168" s="6">
        <v>706</v>
      </c>
    </row>
    <row r="169" spans="1:9" x14ac:dyDescent="0.35">
      <c r="A169" s="2">
        <v>208886</v>
      </c>
      <c r="B169" s="3" t="s">
        <v>187</v>
      </c>
      <c r="C169" s="2" t="s">
        <v>6</v>
      </c>
      <c r="D169" s="4" t="s">
        <v>47</v>
      </c>
      <c r="E169" s="5" t="s">
        <v>8</v>
      </c>
      <c r="F169" s="6">
        <f>SUMIF('MS SAP Dump'!$F$2:$F$603,$A169,'MS SAP Dump'!$D$2:$D$603)</f>
        <v>36</v>
      </c>
      <c r="G169" s="6">
        <v>66</v>
      </c>
      <c r="H169" s="6">
        <f>SUMIF('HSD SAP Dump'!$F$2:$F$602,$A169,'HSD SAP Dump'!$D$2:$D$602)</f>
        <v>96</v>
      </c>
      <c r="I169" s="6">
        <v>66</v>
      </c>
    </row>
    <row r="170" spans="1:9" x14ac:dyDescent="0.35">
      <c r="A170" s="2">
        <v>209709</v>
      </c>
      <c r="B170" s="3" t="s">
        <v>188</v>
      </c>
      <c r="C170" s="2" t="s">
        <v>6</v>
      </c>
      <c r="D170" s="4" t="s">
        <v>26</v>
      </c>
      <c r="E170" s="5" t="s">
        <v>17</v>
      </c>
      <c r="F170" s="6">
        <f>SUMIF('MS SAP Dump'!$F$2:$F$603,$A170,'MS SAP Dump'!$D$2:$D$603)</f>
        <v>9</v>
      </c>
      <c r="G170" s="6">
        <v>22</v>
      </c>
      <c r="H170" s="6">
        <f>SUMIF('HSD SAP Dump'!$F$2:$F$602,$A170,'HSD SAP Dump'!$D$2:$D$602)</f>
        <v>53</v>
      </c>
      <c r="I170" s="6">
        <v>22</v>
      </c>
    </row>
    <row r="171" spans="1:9" x14ac:dyDescent="0.35">
      <c r="A171" s="2">
        <v>209798</v>
      </c>
      <c r="B171" s="3" t="s">
        <v>189</v>
      </c>
      <c r="C171" s="2" t="s">
        <v>6</v>
      </c>
      <c r="D171" s="4" t="s">
        <v>19</v>
      </c>
      <c r="E171" s="5" t="s">
        <v>17</v>
      </c>
      <c r="F171" s="6">
        <f>SUMIF('MS SAP Dump'!$F$2:$F$603,$A171,'MS SAP Dump'!$D$2:$D$603)</f>
        <v>42</v>
      </c>
      <c r="G171" s="6">
        <v>56</v>
      </c>
      <c r="H171" s="6">
        <f>SUMIF('HSD SAP Dump'!$F$2:$F$602,$A171,'HSD SAP Dump'!$D$2:$D$602)</f>
        <v>78</v>
      </c>
      <c r="I171" s="6">
        <v>56</v>
      </c>
    </row>
    <row r="172" spans="1:9" x14ac:dyDescent="0.35">
      <c r="A172" s="2">
        <v>210727</v>
      </c>
      <c r="B172" s="3" t="s">
        <v>190</v>
      </c>
      <c r="C172" s="2" t="s">
        <v>6</v>
      </c>
      <c r="D172" s="4" t="s">
        <v>52</v>
      </c>
      <c r="E172" s="5" t="s">
        <v>8</v>
      </c>
      <c r="F172" s="6">
        <f>SUMIF('MS SAP Dump'!$F$2:$F$603,$A172,'MS SAP Dump'!$D$2:$D$603)</f>
        <v>21.5</v>
      </c>
      <c r="G172" s="6">
        <v>45</v>
      </c>
      <c r="H172" s="6">
        <f>SUMIF('HSD SAP Dump'!$F$2:$F$602,$A172,'HSD SAP Dump'!$D$2:$D$602)</f>
        <v>44.5</v>
      </c>
      <c r="I172" s="6">
        <v>45</v>
      </c>
    </row>
    <row r="173" spans="1:9" x14ac:dyDescent="0.35">
      <c r="A173" s="2">
        <v>211804</v>
      </c>
      <c r="B173" s="3" t="s">
        <v>191</v>
      </c>
      <c r="C173" s="2" t="s">
        <v>6</v>
      </c>
      <c r="D173" s="4" t="s">
        <v>47</v>
      </c>
      <c r="E173" s="5" t="s">
        <v>8</v>
      </c>
      <c r="F173" s="6">
        <f>SUMIF('MS SAP Dump'!$F$2:$F$603,$A173,'MS SAP Dump'!$D$2:$D$603)</f>
        <v>15</v>
      </c>
      <c r="G173" s="6">
        <v>39</v>
      </c>
      <c r="H173" s="6">
        <f>SUMIF('HSD SAP Dump'!$F$2:$F$602,$A173,'HSD SAP Dump'!$D$2:$D$602)</f>
        <v>57</v>
      </c>
      <c r="I173" s="6">
        <v>39</v>
      </c>
    </row>
    <row r="174" spans="1:9" x14ac:dyDescent="0.35">
      <c r="A174" s="2">
        <v>211844</v>
      </c>
      <c r="B174" s="3" t="s">
        <v>192</v>
      </c>
      <c r="C174" s="2" t="s">
        <v>6</v>
      </c>
      <c r="D174" s="4" t="s">
        <v>16</v>
      </c>
      <c r="E174" s="5" t="s">
        <v>17</v>
      </c>
      <c r="F174" s="6">
        <f>SUMIF('MS SAP Dump'!$F$2:$F$603,$A174,'MS SAP Dump'!$D$2:$D$603)</f>
        <v>58</v>
      </c>
      <c r="G174" s="6">
        <v>130</v>
      </c>
      <c r="H174" s="6">
        <f>SUMIF('HSD SAP Dump'!$F$2:$F$602,$A174,'HSD SAP Dump'!$D$2:$D$602)</f>
        <v>130</v>
      </c>
      <c r="I174" s="6">
        <v>130</v>
      </c>
    </row>
    <row r="175" spans="1:9" x14ac:dyDescent="0.35">
      <c r="A175" s="2">
        <v>211916</v>
      </c>
      <c r="B175" s="3" t="s">
        <v>193</v>
      </c>
      <c r="C175" s="2" t="s">
        <v>6</v>
      </c>
      <c r="D175" s="4" t="s">
        <v>19</v>
      </c>
      <c r="E175" s="5" t="s">
        <v>17</v>
      </c>
      <c r="F175" s="6">
        <f>SUMIF('MS SAP Dump'!$F$2:$F$603,$A175,'MS SAP Dump'!$D$2:$D$603)</f>
        <v>0</v>
      </c>
      <c r="G175" s="6">
        <v>0</v>
      </c>
      <c r="H175" s="6">
        <f>SUMIF('HSD SAP Dump'!$F$2:$F$602,$A175,'HSD SAP Dump'!$D$2:$D$602)</f>
        <v>0</v>
      </c>
      <c r="I175" s="6">
        <v>0</v>
      </c>
    </row>
    <row r="176" spans="1:9" x14ac:dyDescent="0.35">
      <c r="A176" s="2">
        <v>212785</v>
      </c>
      <c r="B176" s="3" t="s">
        <v>194</v>
      </c>
      <c r="C176" s="2" t="s">
        <v>6</v>
      </c>
      <c r="D176" s="4" t="s">
        <v>14</v>
      </c>
      <c r="E176" s="5" t="s">
        <v>8</v>
      </c>
      <c r="F176" s="6">
        <f>SUMIF('MS SAP Dump'!$F$2:$F$603,$A176,'MS SAP Dump'!$D$2:$D$603)</f>
        <v>77.5</v>
      </c>
      <c r="G176" s="6">
        <v>92</v>
      </c>
      <c r="H176" s="6">
        <f>SUMIF('HSD SAP Dump'!$F$2:$F$602,$A176,'HSD SAP Dump'!$D$2:$D$602)</f>
        <v>142.5</v>
      </c>
      <c r="I176" s="6">
        <v>92</v>
      </c>
    </row>
    <row r="177" spans="1:9" x14ac:dyDescent="0.35">
      <c r="A177" s="2">
        <v>213863</v>
      </c>
      <c r="B177" s="3" t="s">
        <v>195</v>
      </c>
      <c r="C177" s="2" t="s">
        <v>6</v>
      </c>
      <c r="D177" s="4" t="s">
        <v>16</v>
      </c>
      <c r="E177" s="5" t="s">
        <v>17</v>
      </c>
      <c r="F177" s="6">
        <f>SUMIF('MS SAP Dump'!$F$2:$F$603,$A177,'MS SAP Dump'!$D$2:$D$603)</f>
        <v>21</v>
      </c>
      <c r="G177" s="6">
        <v>41</v>
      </c>
      <c r="H177" s="6">
        <f>SUMIF('HSD SAP Dump'!$F$2:$F$602,$A177,'HSD SAP Dump'!$D$2:$D$602)</f>
        <v>51</v>
      </c>
      <c r="I177" s="6">
        <v>41</v>
      </c>
    </row>
    <row r="178" spans="1:9" x14ac:dyDescent="0.35">
      <c r="A178" s="2">
        <v>214557</v>
      </c>
      <c r="B178" s="3" t="s">
        <v>196</v>
      </c>
      <c r="C178" s="2" t="s">
        <v>6</v>
      </c>
      <c r="D178" s="4" t="s">
        <v>12</v>
      </c>
      <c r="E178" s="5" t="s">
        <v>8</v>
      </c>
      <c r="F178" s="6">
        <f>SUMIF('MS SAP Dump'!$F$2:$F$603,$A178,'MS SAP Dump'!$D$2:$D$603)</f>
        <v>219.5</v>
      </c>
      <c r="G178" s="6">
        <v>48</v>
      </c>
      <c r="H178" s="6">
        <f>SUMIF('HSD SAP Dump'!$F$2:$F$602,$A178,'HSD SAP Dump'!$D$2:$D$602)</f>
        <v>84.5</v>
      </c>
      <c r="I178" s="6">
        <v>48</v>
      </c>
    </row>
    <row r="179" spans="1:9" x14ac:dyDescent="0.35">
      <c r="A179" s="2">
        <v>215051</v>
      </c>
      <c r="B179" s="3" t="s">
        <v>197</v>
      </c>
      <c r="C179" s="2" t="s">
        <v>6</v>
      </c>
      <c r="D179" s="4" t="s">
        <v>12</v>
      </c>
      <c r="E179" s="5" t="s">
        <v>8</v>
      </c>
      <c r="F179" s="6">
        <f>SUMIF('MS SAP Dump'!$F$2:$F$603,$A179,'MS SAP Dump'!$D$2:$D$603)</f>
        <v>199.5</v>
      </c>
      <c r="G179" s="6">
        <v>154</v>
      </c>
      <c r="H179" s="6">
        <f>SUMIF('HSD SAP Dump'!$F$2:$F$602,$A179,'HSD SAP Dump'!$D$2:$D$602)</f>
        <v>290.5</v>
      </c>
      <c r="I179" s="6">
        <v>154</v>
      </c>
    </row>
    <row r="180" spans="1:9" x14ac:dyDescent="0.35">
      <c r="A180" s="2">
        <v>215984</v>
      </c>
      <c r="B180" s="3" t="s">
        <v>198</v>
      </c>
      <c r="C180" s="2" t="s">
        <v>6</v>
      </c>
      <c r="D180" s="4" t="s">
        <v>12</v>
      </c>
      <c r="E180" s="5" t="s">
        <v>8</v>
      </c>
      <c r="F180" s="6">
        <f>SUMIF('MS SAP Dump'!$F$2:$F$603,$A180,'MS SAP Dump'!$D$2:$D$603)</f>
        <v>252</v>
      </c>
      <c r="G180" s="6">
        <v>39</v>
      </c>
      <c r="H180" s="6">
        <f>SUMIF('HSD SAP Dump'!$F$2:$F$602,$A180,'HSD SAP Dump'!$D$2:$D$602)</f>
        <v>36</v>
      </c>
      <c r="I180" s="6">
        <v>39</v>
      </c>
    </row>
    <row r="181" spans="1:9" x14ac:dyDescent="0.35">
      <c r="A181" s="2">
        <v>216281</v>
      </c>
      <c r="B181" s="3" t="s">
        <v>199</v>
      </c>
      <c r="C181" s="2" t="s">
        <v>6</v>
      </c>
      <c r="D181" s="4" t="s">
        <v>26</v>
      </c>
      <c r="E181" s="5" t="s">
        <v>17</v>
      </c>
      <c r="F181" s="6">
        <f>SUMIF('MS SAP Dump'!$F$2:$F$603,$A181,'MS SAP Dump'!$D$2:$D$603)</f>
        <v>6</v>
      </c>
      <c r="G181" s="6">
        <v>9</v>
      </c>
      <c r="H181" s="6">
        <f>SUMIF('HSD SAP Dump'!$F$2:$F$602,$A181,'HSD SAP Dump'!$D$2:$D$602)</f>
        <v>18</v>
      </c>
      <c r="I181" s="6">
        <v>9</v>
      </c>
    </row>
    <row r="182" spans="1:9" x14ac:dyDescent="0.35">
      <c r="A182" s="2">
        <v>216783</v>
      </c>
      <c r="B182" s="3" t="s">
        <v>200</v>
      </c>
      <c r="C182" s="2" t="s">
        <v>6</v>
      </c>
      <c r="D182" s="4" t="s">
        <v>39</v>
      </c>
      <c r="E182" s="5" t="s">
        <v>40</v>
      </c>
      <c r="F182" s="6">
        <f>SUMIF('MS SAP Dump'!$F$2:$F$603,$A182,'MS SAP Dump'!$D$2:$D$603)</f>
        <v>30</v>
      </c>
      <c r="G182" s="6">
        <v>42</v>
      </c>
      <c r="H182" s="6">
        <f>SUMIF('HSD SAP Dump'!$F$2:$F$602,$A182,'HSD SAP Dump'!$D$2:$D$602)</f>
        <v>30</v>
      </c>
      <c r="I182" s="6">
        <v>42</v>
      </c>
    </row>
    <row r="183" spans="1:9" x14ac:dyDescent="0.35">
      <c r="A183" s="2">
        <v>216792</v>
      </c>
      <c r="B183" s="3" t="s">
        <v>201</v>
      </c>
      <c r="C183" s="2" t="s">
        <v>6</v>
      </c>
      <c r="D183" s="4" t="s">
        <v>12</v>
      </c>
      <c r="E183" s="5" t="s">
        <v>8</v>
      </c>
      <c r="F183" s="6">
        <f>SUMIF('MS SAP Dump'!$F$2:$F$603,$A183,'MS SAP Dump'!$D$2:$D$603)</f>
        <v>199.5</v>
      </c>
      <c r="G183" s="6">
        <v>51</v>
      </c>
      <c r="H183" s="6">
        <f>SUMIF('HSD SAP Dump'!$F$2:$F$602,$A183,'HSD SAP Dump'!$D$2:$D$602)</f>
        <v>54.5</v>
      </c>
      <c r="I183" s="6">
        <v>51</v>
      </c>
    </row>
    <row r="184" spans="1:9" x14ac:dyDescent="0.35">
      <c r="A184" s="2">
        <v>218041</v>
      </c>
      <c r="B184" s="3" t="s">
        <v>202</v>
      </c>
      <c r="C184" s="2" t="s">
        <v>6</v>
      </c>
      <c r="D184" s="4" t="s">
        <v>44</v>
      </c>
      <c r="E184" s="5" t="s">
        <v>40</v>
      </c>
      <c r="F184" s="6">
        <f>SUMIF('MS SAP Dump'!$F$2:$F$603,$A184,'MS SAP Dump'!$D$2:$D$603)</f>
        <v>6</v>
      </c>
      <c r="G184" s="6">
        <v>0</v>
      </c>
      <c r="H184" s="6">
        <f>SUMIF('HSD SAP Dump'!$F$2:$F$602,$A184,'HSD SAP Dump'!$D$2:$D$602)</f>
        <v>18</v>
      </c>
      <c r="I184" s="6">
        <v>0</v>
      </c>
    </row>
    <row r="185" spans="1:9" x14ac:dyDescent="0.35">
      <c r="A185" s="2">
        <v>219798</v>
      </c>
      <c r="B185" s="3" t="s">
        <v>203</v>
      </c>
      <c r="C185" s="2" t="s">
        <v>6</v>
      </c>
      <c r="D185" s="4" t="s">
        <v>52</v>
      </c>
      <c r="E185" s="5" t="s">
        <v>8</v>
      </c>
      <c r="F185" s="6">
        <f>SUMIF('MS SAP Dump'!$F$2:$F$603,$A185,'MS SAP Dump'!$D$2:$D$603)</f>
        <v>0</v>
      </c>
      <c r="G185" s="6">
        <v>0</v>
      </c>
      <c r="H185" s="6">
        <f>SUMIF('HSD SAP Dump'!$F$2:$F$602,$A185,'HSD SAP Dump'!$D$2:$D$602)</f>
        <v>0</v>
      </c>
      <c r="I185" s="6">
        <v>0</v>
      </c>
    </row>
    <row r="186" spans="1:9" x14ac:dyDescent="0.35">
      <c r="A186" s="2">
        <v>221803</v>
      </c>
      <c r="B186" s="3" t="s">
        <v>204</v>
      </c>
      <c r="C186" s="2" t="s">
        <v>6</v>
      </c>
      <c r="D186" s="4" t="s">
        <v>19</v>
      </c>
      <c r="E186" s="5" t="s">
        <v>17</v>
      </c>
      <c r="F186" s="6">
        <f>SUMIF('MS SAP Dump'!$F$2:$F$603,$A186,'MS SAP Dump'!$D$2:$D$603)</f>
        <v>24</v>
      </c>
      <c r="G186" s="6">
        <v>76</v>
      </c>
      <c r="H186" s="6">
        <f>SUMIF('HSD SAP Dump'!$F$2:$F$602,$A186,'HSD SAP Dump'!$D$2:$D$602)</f>
        <v>84</v>
      </c>
      <c r="I186" s="6">
        <v>76</v>
      </c>
    </row>
    <row r="187" spans="1:9" x14ac:dyDescent="0.35">
      <c r="A187" s="2">
        <v>222319</v>
      </c>
      <c r="B187" s="3" t="s">
        <v>205</v>
      </c>
      <c r="C187" s="2" t="s">
        <v>6</v>
      </c>
      <c r="D187" s="4" t="s">
        <v>47</v>
      </c>
      <c r="E187" s="5" t="s">
        <v>8</v>
      </c>
      <c r="F187" s="6">
        <f>SUMIF('MS SAP Dump'!$F$2:$F$603,$A187,'MS SAP Dump'!$D$2:$D$603)</f>
        <v>70</v>
      </c>
      <c r="G187" s="6">
        <v>240</v>
      </c>
      <c r="H187" s="6">
        <f>SUMIF('HSD SAP Dump'!$F$2:$F$602,$A187,'HSD SAP Dump'!$D$2:$D$602)</f>
        <v>330</v>
      </c>
      <c r="I187" s="6">
        <v>240</v>
      </c>
    </row>
    <row r="188" spans="1:9" x14ac:dyDescent="0.35">
      <c r="A188" s="2">
        <v>222515</v>
      </c>
      <c r="B188" s="3" t="s">
        <v>206</v>
      </c>
      <c r="C188" s="2" t="s">
        <v>6</v>
      </c>
      <c r="D188" s="4" t="s">
        <v>7</v>
      </c>
      <c r="E188" s="5" t="s">
        <v>8</v>
      </c>
      <c r="F188" s="6">
        <f>SUMIF('MS SAP Dump'!$F$2:$F$603,$A188,'MS SAP Dump'!$D$2:$D$603)</f>
        <v>85</v>
      </c>
      <c r="G188" s="6">
        <v>110</v>
      </c>
      <c r="H188" s="6">
        <f>SUMIF('HSD SAP Dump'!$F$2:$F$602,$A188,'HSD SAP Dump'!$D$2:$D$602)</f>
        <v>115</v>
      </c>
      <c r="I188" s="6">
        <v>110</v>
      </c>
    </row>
    <row r="189" spans="1:9" x14ac:dyDescent="0.35">
      <c r="A189" s="2">
        <v>222614</v>
      </c>
      <c r="B189" s="3" t="s">
        <v>207</v>
      </c>
      <c r="C189" s="2" t="s">
        <v>6</v>
      </c>
      <c r="D189" s="4" t="s">
        <v>19</v>
      </c>
      <c r="E189" s="5" t="s">
        <v>17</v>
      </c>
      <c r="F189" s="6">
        <f>SUMIF('MS SAP Dump'!$F$2:$F$603,$A189,'MS SAP Dump'!$D$2:$D$603)</f>
        <v>49</v>
      </c>
      <c r="G189" s="6">
        <v>98</v>
      </c>
      <c r="H189" s="6">
        <f>SUMIF('HSD SAP Dump'!$F$2:$F$602,$A189,'HSD SAP Dump'!$D$2:$D$602)</f>
        <v>171</v>
      </c>
      <c r="I189" s="6">
        <v>98</v>
      </c>
    </row>
    <row r="190" spans="1:9" x14ac:dyDescent="0.35">
      <c r="A190" s="2">
        <v>222615</v>
      </c>
      <c r="B190" s="3" t="s">
        <v>208</v>
      </c>
      <c r="C190" s="2" t="s">
        <v>6</v>
      </c>
      <c r="D190" s="4" t="s">
        <v>19</v>
      </c>
      <c r="E190" s="5" t="s">
        <v>17</v>
      </c>
      <c r="F190" s="6">
        <f>SUMIF('MS SAP Dump'!$F$2:$F$603,$A190,'MS SAP Dump'!$D$2:$D$603)</f>
        <v>0</v>
      </c>
      <c r="G190" s="6">
        <v>0</v>
      </c>
      <c r="H190" s="6">
        <f>SUMIF('HSD SAP Dump'!$F$2:$F$602,$A190,'HSD SAP Dump'!$D$2:$D$602)</f>
        <v>0</v>
      </c>
      <c r="I190" s="6">
        <v>0</v>
      </c>
    </row>
    <row r="191" spans="1:9" x14ac:dyDescent="0.35">
      <c r="A191" s="2">
        <v>223995</v>
      </c>
      <c r="B191" s="3" t="s">
        <v>209</v>
      </c>
      <c r="C191" s="2" t="s">
        <v>6</v>
      </c>
      <c r="D191" s="4" t="s">
        <v>10</v>
      </c>
      <c r="E191" s="5" t="s">
        <v>8</v>
      </c>
      <c r="F191" s="6">
        <f>SUMIF('MS SAP Dump'!$F$2:$F$603,$A191,'MS SAP Dump'!$D$2:$D$603)</f>
        <v>30</v>
      </c>
      <c r="G191" s="6">
        <v>335</v>
      </c>
      <c r="H191" s="6">
        <f>SUMIF('HSD SAP Dump'!$F$2:$F$602,$A191,'HSD SAP Dump'!$D$2:$D$602)</f>
        <v>370</v>
      </c>
      <c r="I191" s="6">
        <v>335</v>
      </c>
    </row>
    <row r="192" spans="1:9" x14ac:dyDescent="0.35">
      <c r="A192" s="2">
        <v>224590</v>
      </c>
      <c r="B192" s="3" t="s">
        <v>210</v>
      </c>
      <c r="C192" s="2" t="s">
        <v>6</v>
      </c>
      <c r="D192" s="4" t="s">
        <v>44</v>
      </c>
      <c r="E192" s="5" t="s">
        <v>40</v>
      </c>
      <c r="F192" s="6">
        <f>SUMIF('MS SAP Dump'!$F$2:$F$603,$A192,'MS SAP Dump'!$D$2:$D$603)</f>
        <v>24.5</v>
      </c>
      <c r="G192" s="6">
        <v>24.5</v>
      </c>
      <c r="H192" s="6">
        <f>SUMIF('HSD SAP Dump'!$F$2:$F$602,$A192,'HSD SAP Dump'!$D$2:$D$602)</f>
        <v>31.5</v>
      </c>
      <c r="I192" s="6">
        <v>24.5</v>
      </c>
    </row>
    <row r="193" spans="1:9" x14ac:dyDescent="0.35">
      <c r="A193" s="2">
        <v>224595</v>
      </c>
      <c r="B193" s="3" t="s">
        <v>211</v>
      </c>
      <c r="C193" s="2" t="s">
        <v>6</v>
      </c>
      <c r="D193" s="4" t="s">
        <v>19</v>
      </c>
      <c r="E193" s="5" t="s">
        <v>17</v>
      </c>
      <c r="F193" s="6">
        <f>SUMIF('MS SAP Dump'!$F$2:$F$603,$A193,'MS SAP Dump'!$D$2:$D$603)</f>
        <v>28</v>
      </c>
      <c r="G193" s="6">
        <v>213.5</v>
      </c>
      <c r="H193" s="6">
        <f>SUMIF('HSD SAP Dump'!$F$2:$F$602,$A193,'HSD SAP Dump'!$D$2:$D$602)</f>
        <v>280</v>
      </c>
      <c r="I193" s="6">
        <v>213.5</v>
      </c>
    </row>
    <row r="194" spans="1:9" x14ac:dyDescent="0.35">
      <c r="A194" s="2">
        <v>225490</v>
      </c>
      <c r="B194" s="3" t="s">
        <v>212</v>
      </c>
      <c r="C194" s="2" t="s">
        <v>6</v>
      </c>
      <c r="D194" s="4" t="s">
        <v>16</v>
      </c>
      <c r="E194" s="5" t="s">
        <v>17</v>
      </c>
      <c r="F194" s="6">
        <f>SUMIF('MS SAP Dump'!$F$2:$F$603,$A194,'MS SAP Dump'!$D$2:$D$603)</f>
        <v>60</v>
      </c>
      <c r="G194" s="6">
        <v>57</v>
      </c>
      <c r="H194" s="6">
        <f>SUMIF('HSD SAP Dump'!$F$2:$F$602,$A194,'HSD SAP Dump'!$D$2:$D$602)</f>
        <v>72</v>
      </c>
      <c r="I194" s="6">
        <v>57</v>
      </c>
    </row>
    <row r="195" spans="1:9" x14ac:dyDescent="0.35">
      <c r="A195" s="2">
        <v>225492</v>
      </c>
      <c r="B195" s="3" t="s">
        <v>213</v>
      </c>
      <c r="C195" s="2" t="s">
        <v>6</v>
      </c>
      <c r="D195" s="4" t="s">
        <v>19</v>
      </c>
      <c r="E195" s="5" t="s">
        <v>17</v>
      </c>
      <c r="F195" s="6">
        <f>SUMIF('MS SAP Dump'!$F$2:$F$603,$A195,'MS SAP Dump'!$D$2:$D$603)</f>
        <v>36</v>
      </c>
      <c r="G195" s="6">
        <v>63</v>
      </c>
      <c r="H195" s="6">
        <f>SUMIF('HSD SAP Dump'!$F$2:$F$602,$A195,'HSD SAP Dump'!$D$2:$D$602)</f>
        <v>36</v>
      </c>
      <c r="I195" s="6">
        <v>63</v>
      </c>
    </row>
    <row r="196" spans="1:9" x14ac:dyDescent="0.35">
      <c r="A196" s="2">
        <v>226104</v>
      </c>
      <c r="B196" s="3" t="s">
        <v>214</v>
      </c>
      <c r="C196" s="2" t="s">
        <v>6</v>
      </c>
      <c r="D196" s="4" t="s">
        <v>19</v>
      </c>
      <c r="E196" s="5" t="s">
        <v>17</v>
      </c>
      <c r="F196" s="6">
        <f>SUMIF('MS SAP Dump'!$F$2:$F$603,$A196,'MS SAP Dump'!$D$2:$D$603)</f>
        <v>28.5</v>
      </c>
      <c r="G196" s="6">
        <v>64</v>
      </c>
      <c r="H196" s="6">
        <f>SUMIF('HSD SAP Dump'!$F$2:$F$602,$A196,'HSD SAP Dump'!$D$2:$D$602)</f>
        <v>21.5</v>
      </c>
      <c r="I196" s="6">
        <v>64</v>
      </c>
    </row>
    <row r="197" spans="1:9" x14ac:dyDescent="0.35">
      <c r="A197" s="2">
        <v>226334</v>
      </c>
      <c r="B197" s="3" t="s">
        <v>215</v>
      </c>
      <c r="C197" s="2" t="s">
        <v>6</v>
      </c>
      <c r="D197" s="4" t="s">
        <v>16</v>
      </c>
      <c r="E197" s="5" t="s">
        <v>17</v>
      </c>
      <c r="F197" s="6">
        <f>SUMIF('MS SAP Dump'!$F$2:$F$603,$A197,'MS SAP Dump'!$D$2:$D$603)</f>
        <v>58</v>
      </c>
      <c r="G197" s="6">
        <v>78</v>
      </c>
      <c r="H197" s="6">
        <f>SUMIF('HSD SAP Dump'!$F$2:$F$602,$A197,'HSD SAP Dump'!$D$2:$D$602)</f>
        <v>130</v>
      </c>
      <c r="I197" s="6">
        <v>78</v>
      </c>
    </row>
    <row r="198" spans="1:9" x14ac:dyDescent="0.35">
      <c r="A198" s="2">
        <v>226485</v>
      </c>
      <c r="B198" s="3" t="s">
        <v>216</v>
      </c>
      <c r="C198" s="2" t="s">
        <v>6</v>
      </c>
      <c r="D198" s="4" t="s">
        <v>39</v>
      </c>
      <c r="E198" s="5" t="s">
        <v>40</v>
      </c>
      <c r="F198" s="6">
        <f>SUMIF('MS SAP Dump'!$F$2:$F$603,$A198,'MS SAP Dump'!$D$2:$D$603)</f>
        <v>119</v>
      </c>
      <c r="G198" s="6">
        <v>33</v>
      </c>
      <c r="H198" s="6">
        <f>SUMIF('HSD SAP Dump'!$F$2:$F$602,$A198,'HSD SAP Dump'!$D$2:$D$602)</f>
        <v>35</v>
      </c>
      <c r="I198" s="6">
        <v>33</v>
      </c>
    </row>
    <row r="199" spans="1:9" x14ac:dyDescent="0.35">
      <c r="A199" s="2">
        <v>226494</v>
      </c>
      <c r="B199" s="3" t="s">
        <v>217</v>
      </c>
      <c r="C199" s="2" t="s">
        <v>6</v>
      </c>
      <c r="D199" s="4" t="s">
        <v>52</v>
      </c>
      <c r="E199" s="5" t="s">
        <v>8</v>
      </c>
      <c r="F199" s="6">
        <f>SUMIF('MS SAP Dump'!$F$2:$F$603,$A199,'MS SAP Dump'!$D$2:$D$603)</f>
        <v>60</v>
      </c>
      <c r="G199" s="6">
        <v>125</v>
      </c>
      <c r="H199" s="6">
        <f>SUMIF('HSD SAP Dump'!$F$2:$F$602,$A199,'HSD SAP Dump'!$D$2:$D$602)</f>
        <v>260</v>
      </c>
      <c r="I199" s="6">
        <v>125</v>
      </c>
    </row>
    <row r="200" spans="1:9" x14ac:dyDescent="0.35">
      <c r="A200" s="2">
        <v>227265</v>
      </c>
      <c r="B200" s="3" t="s">
        <v>218</v>
      </c>
      <c r="C200" s="2" t="s">
        <v>6</v>
      </c>
      <c r="D200" s="4" t="s">
        <v>26</v>
      </c>
      <c r="E200" s="5" t="s">
        <v>17</v>
      </c>
      <c r="F200" s="6">
        <f>SUMIF('MS SAP Dump'!$F$2:$F$603,$A200,'MS SAP Dump'!$D$2:$D$603)</f>
        <v>21</v>
      </c>
      <c r="G200" s="6">
        <v>49</v>
      </c>
      <c r="H200" s="6">
        <f>SUMIF('HSD SAP Dump'!$F$2:$F$602,$A200,'HSD SAP Dump'!$D$2:$D$602)</f>
        <v>31</v>
      </c>
      <c r="I200" s="6">
        <v>49</v>
      </c>
    </row>
    <row r="201" spans="1:9" x14ac:dyDescent="0.35">
      <c r="A201" s="2">
        <v>227915</v>
      </c>
      <c r="B201" s="3" t="s">
        <v>219</v>
      </c>
      <c r="C201" s="2" t="s">
        <v>6</v>
      </c>
      <c r="D201" s="4" t="s">
        <v>19</v>
      </c>
      <c r="E201" s="5" t="s">
        <v>17</v>
      </c>
      <c r="F201" s="6">
        <f>SUMIF('MS SAP Dump'!$F$2:$F$603,$A201,'MS SAP Dump'!$D$2:$D$603)</f>
        <v>46</v>
      </c>
      <c r="G201" s="6">
        <v>150.5</v>
      </c>
      <c r="H201" s="6">
        <f>SUMIF('HSD SAP Dump'!$F$2:$F$602,$A201,'HSD SAP Dump'!$D$2:$D$602)</f>
        <v>158</v>
      </c>
      <c r="I201" s="6">
        <v>150.5</v>
      </c>
    </row>
    <row r="202" spans="1:9" x14ac:dyDescent="0.35">
      <c r="A202" s="2">
        <v>229160</v>
      </c>
      <c r="B202" s="3" t="s">
        <v>220</v>
      </c>
      <c r="C202" s="2" t="s">
        <v>6</v>
      </c>
      <c r="D202" s="4" t="s">
        <v>19</v>
      </c>
      <c r="E202" s="5" t="s">
        <v>17</v>
      </c>
      <c r="F202" s="6">
        <f>SUMIF('MS SAP Dump'!$F$2:$F$603,$A202,'MS SAP Dump'!$D$2:$D$603)</f>
        <v>24.5</v>
      </c>
      <c r="G202" s="6">
        <v>49</v>
      </c>
      <c r="H202" s="6">
        <f>SUMIF('HSD SAP Dump'!$F$2:$F$602,$A202,'HSD SAP Dump'!$D$2:$D$602)</f>
        <v>59.5</v>
      </c>
      <c r="I202" s="6">
        <v>49</v>
      </c>
    </row>
    <row r="203" spans="1:9" x14ac:dyDescent="0.35">
      <c r="A203" s="2">
        <v>230276</v>
      </c>
      <c r="B203" s="3" t="s">
        <v>221</v>
      </c>
      <c r="C203" s="2" t="s">
        <v>6</v>
      </c>
      <c r="D203" s="4" t="s">
        <v>26</v>
      </c>
      <c r="E203" s="5" t="s">
        <v>17</v>
      </c>
      <c r="F203" s="6">
        <f>SUMIF('MS SAP Dump'!$F$2:$F$603,$A203,'MS SAP Dump'!$D$2:$D$603)</f>
        <v>0</v>
      </c>
      <c r="G203" s="6">
        <v>44</v>
      </c>
      <c r="H203" s="6">
        <f>SUMIF('HSD SAP Dump'!$F$2:$F$602,$A203,'HSD SAP Dump'!$D$2:$D$602)</f>
        <v>0</v>
      </c>
      <c r="I203" s="6">
        <v>44</v>
      </c>
    </row>
    <row r="204" spans="1:9" x14ac:dyDescent="0.35">
      <c r="A204" s="2">
        <v>231151</v>
      </c>
      <c r="B204" s="3" t="s">
        <v>222</v>
      </c>
      <c r="C204" s="2" t="s">
        <v>6</v>
      </c>
      <c r="D204" s="4" t="s">
        <v>44</v>
      </c>
      <c r="E204" s="5" t="s">
        <v>40</v>
      </c>
      <c r="F204" s="6">
        <f>SUMIF('MS SAP Dump'!$F$2:$F$603,$A204,'MS SAP Dump'!$D$2:$D$603)</f>
        <v>54.5</v>
      </c>
      <c r="G204" s="6">
        <v>93</v>
      </c>
      <c r="H204" s="6">
        <f>SUMIF('HSD SAP Dump'!$F$2:$F$602,$A204,'HSD SAP Dump'!$D$2:$D$602)</f>
        <v>81.5</v>
      </c>
      <c r="I204" s="6">
        <v>93</v>
      </c>
    </row>
    <row r="205" spans="1:9" x14ac:dyDescent="0.35">
      <c r="A205" s="2">
        <v>392208</v>
      </c>
      <c r="B205" s="3" t="s">
        <v>223</v>
      </c>
      <c r="C205" s="2" t="s">
        <v>6</v>
      </c>
      <c r="D205" s="4" t="s">
        <v>44</v>
      </c>
      <c r="E205" s="5" t="s">
        <v>40</v>
      </c>
      <c r="F205" s="6">
        <f>SUMIF('MS SAP Dump'!$F$2:$F$603,$A205,'MS SAP Dump'!$D$2:$D$603)</f>
        <v>21</v>
      </c>
      <c r="G205" s="6">
        <v>9</v>
      </c>
      <c r="H205" s="6">
        <f>SUMIF('HSD SAP Dump'!$F$2:$F$602,$A205,'HSD SAP Dump'!$D$2:$D$602)</f>
        <v>27</v>
      </c>
      <c r="I205" s="6">
        <v>9</v>
      </c>
    </row>
    <row r="206" spans="1:9" x14ac:dyDescent="0.35">
      <c r="A206" s="2">
        <v>232661</v>
      </c>
      <c r="B206" s="3" t="s">
        <v>224</v>
      </c>
      <c r="C206" s="2" t="s">
        <v>6</v>
      </c>
      <c r="D206" s="4" t="s">
        <v>10</v>
      </c>
      <c r="E206" s="5" t="s">
        <v>8</v>
      </c>
      <c r="F206" s="6">
        <f>SUMIF('MS SAP Dump'!$F$2:$F$603,$A206,'MS SAP Dump'!$D$2:$D$603)</f>
        <v>0</v>
      </c>
      <c r="G206" s="6">
        <v>0</v>
      </c>
      <c r="H206" s="6">
        <f>SUMIF('HSD SAP Dump'!$F$2:$F$602,$A206,'HSD SAP Dump'!$D$2:$D$602)</f>
        <v>0</v>
      </c>
      <c r="I206" s="6">
        <v>0</v>
      </c>
    </row>
    <row r="207" spans="1:9" x14ac:dyDescent="0.35">
      <c r="A207" s="2">
        <v>233737</v>
      </c>
      <c r="B207" s="3" t="s">
        <v>225</v>
      </c>
      <c r="C207" s="2" t="s">
        <v>6</v>
      </c>
      <c r="D207" s="4" t="s">
        <v>12</v>
      </c>
      <c r="E207" s="5" t="s">
        <v>8</v>
      </c>
      <c r="F207" s="6">
        <f>SUMIF('MS SAP Dump'!$F$2:$F$603,$A207,'MS SAP Dump'!$D$2:$D$603)</f>
        <v>111</v>
      </c>
      <c r="G207" s="6">
        <v>276</v>
      </c>
      <c r="H207" s="6">
        <f>SUMIF('HSD SAP Dump'!$F$2:$F$602,$A207,'HSD SAP Dump'!$D$2:$D$602)</f>
        <v>357</v>
      </c>
      <c r="I207" s="6">
        <v>276</v>
      </c>
    </row>
    <row r="208" spans="1:9" x14ac:dyDescent="0.35">
      <c r="A208" s="2">
        <v>234891</v>
      </c>
      <c r="B208" s="3" t="s">
        <v>226</v>
      </c>
      <c r="C208" s="2" t="s">
        <v>6</v>
      </c>
      <c r="D208" s="4" t="s">
        <v>10</v>
      </c>
      <c r="E208" s="5" t="s">
        <v>8</v>
      </c>
      <c r="F208" s="6">
        <f>SUMIF('MS SAP Dump'!$F$2:$F$603,$A208,'MS SAP Dump'!$D$2:$D$603)</f>
        <v>135</v>
      </c>
      <c r="G208" s="6">
        <v>45</v>
      </c>
      <c r="H208" s="6">
        <f>SUMIF('HSD SAP Dump'!$F$2:$F$602,$A208,'HSD SAP Dump'!$D$2:$D$602)</f>
        <v>81</v>
      </c>
      <c r="I208" s="6">
        <v>45</v>
      </c>
    </row>
    <row r="209" spans="1:9" x14ac:dyDescent="0.35">
      <c r="A209" s="2">
        <v>234958</v>
      </c>
      <c r="B209" s="3" t="s">
        <v>227</v>
      </c>
      <c r="C209" s="2" t="s">
        <v>6</v>
      </c>
      <c r="D209" s="4" t="s">
        <v>26</v>
      </c>
      <c r="E209" s="5" t="s">
        <v>17</v>
      </c>
      <c r="F209" s="6">
        <f>SUMIF('MS SAP Dump'!$F$2:$F$603,$A209,'MS SAP Dump'!$D$2:$D$603)</f>
        <v>0</v>
      </c>
      <c r="G209" s="6">
        <v>42</v>
      </c>
      <c r="H209" s="6">
        <f>SUMIF('HSD SAP Dump'!$F$2:$F$602,$A209,'HSD SAP Dump'!$D$2:$D$602)</f>
        <v>0</v>
      </c>
      <c r="I209" s="6">
        <v>42</v>
      </c>
    </row>
    <row r="210" spans="1:9" x14ac:dyDescent="0.35">
      <c r="A210" s="2">
        <v>234970</v>
      </c>
      <c r="B210" s="3" t="s">
        <v>228</v>
      </c>
      <c r="C210" s="2" t="s">
        <v>6</v>
      </c>
      <c r="D210" s="4" t="s">
        <v>7</v>
      </c>
      <c r="E210" s="5" t="s">
        <v>8</v>
      </c>
      <c r="F210" s="6">
        <f>SUMIF('MS SAP Dump'!$F$2:$F$603,$A210,'MS SAP Dump'!$D$2:$D$603)</f>
        <v>21</v>
      </c>
      <c r="G210" s="6">
        <v>27</v>
      </c>
      <c r="H210" s="6">
        <f>SUMIF('HSD SAP Dump'!$F$2:$F$602,$A210,'HSD SAP Dump'!$D$2:$D$602)</f>
        <v>21</v>
      </c>
      <c r="I210" s="6">
        <v>27</v>
      </c>
    </row>
    <row r="211" spans="1:9" x14ac:dyDescent="0.35">
      <c r="A211" s="2">
        <v>241522</v>
      </c>
      <c r="B211" s="3" t="s">
        <v>229</v>
      </c>
      <c r="C211" s="2" t="s">
        <v>6</v>
      </c>
      <c r="D211" s="4" t="s">
        <v>26</v>
      </c>
      <c r="E211" s="5" t="s">
        <v>17</v>
      </c>
      <c r="F211" s="6">
        <f>SUMIF('MS SAP Dump'!$F$2:$F$603,$A211,'MS SAP Dump'!$D$2:$D$603)</f>
        <v>6</v>
      </c>
      <c r="G211" s="6">
        <v>0</v>
      </c>
      <c r="H211" s="6">
        <f>SUMIF('HSD SAP Dump'!$F$2:$F$602,$A211,'HSD SAP Dump'!$D$2:$D$602)</f>
        <v>6</v>
      </c>
      <c r="I211" s="6">
        <v>0</v>
      </c>
    </row>
    <row r="212" spans="1:9" x14ac:dyDescent="0.35">
      <c r="A212" s="2">
        <v>242000</v>
      </c>
      <c r="B212" s="3" t="s">
        <v>230</v>
      </c>
      <c r="C212" s="2" t="s">
        <v>6</v>
      </c>
      <c r="D212" s="4" t="s">
        <v>10</v>
      </c>
      <c r="E212" s="5" t="s">
        <v>8</v>
      </c>
      <c r="F212" s="6">
        <f>SUMIF('MS SAP Dump'!$F$2:$F$603,$A212,'MS SAP Dump'!$D$2:$D$603)</f>
        <v>50</v>
      </c>
      <c r="G212" s="6">
        <v>120</v>
      </c>
      <c r="H212" s="6">
        <f>SUMIF('HSD SAP Dump'!$F$2:$F$602,$A212,'HSD SAP Dump'!$D$2:$D$602)</f>
        <v>170</v>
      </c>
      <c r="I212" s="6">
        <v>120</v>
      </c>
    </row>
    <row r="213" spans="1:9" x14ac:dyDescent="0.35">
      <c r="A213" s="2">
        <v>243557</v>
      </c>
      <c r="B213" s="3" t="s">
        <v>231</v>
      </c>
      <c r="C213" s="2" t="s">
        <v>6</v>
      </c>
      <c r="D213" s="4" t="s">
        <v>39</v>
      </c>
      <c r="E213" s="5" t="s">
        <v>40</v>
      </c>
      <c r="F213" s="6">
        <f>SUMIF('MS SAP Dump'!$F$2:$F$603,$A213,'MS SAP Dump'!$D$2:$D$603)</f>
        <v>17</v>
      </c>
      <c r="G213" s="6">
        <v>32</v>
      </c>
      <c r="H213" s="6">
        <f>SUMIF('HSD SAP Dump'!$F$2:$F$602,$A213,'HSD SAP Dump'!$D$2:$D$602)</f>
        <v>31</v>
      </c>
      <c r="I213" s="6">
        <v>32</v>
      </c>
    </row>
    <row r="214" spans="1:9" x14ac:dyDescent="0.35">
      <c r="A214" s="2">
        <v>244722</v>
      </c>
      <c r="B214" s="3" t="s">
        <v>232</v>
      </c>
      <c r="C214" s="2" t="s">
        <v>6</v>
      </c>
      <c r="D214" s="4" t="s">
        <v>16</v>
      </c>
      <c r="E214" s="5" t="s">
        <v>17</v>
      </c>
      <c r="F214" s="6">
        <f>SUMIF('MS SAP Dump'!$F$2:$F$603,$A214,'MS SAP Dump'!$D$2:$D$603)</f>
        <v>60</v>
      </c>
      <c r="G214" s="6">
        <v>100</v>
      </c>
      <c r="H214" s="6">
        <f>SUMIF('HSD SAP Dump'!$F$2:$F$602,$A214,'HSD SAP Dump'!$D$2:$D$602)</f>
        <v>180</v>
      </c>
      <c r="I214" s="6">
        <v>100</v>
      </c>
    </row>
    <row r="215" spans="1:9" x14ac:dyDescent="0.35">
      <c r="A215" s="2">
        <v>244733</v>
      </c>
      <c r="B215" s="3" t="s">
        <v>233</v>
      </c>
      <c r="C215" s="2" t="s">
        <v>6</v>
      </c>
      <c r="D215" s="4" t="s">
        <v>47</v>
      </c>
      <c r="E215" s="5" t="s">
        <v>8</v>
      </c>
      <c r="F215" s="6">
        <f>SUMIF('MS SAP Dump'!$F$2:$F$603,$A215,'MS SAP Dump'!$D$2:$D$603)</f>
        <v>12</v>
      </c>
      <c r="G215" s="6">
        <v>27</v>
      </c>
      <c r="H215" s="6">
        <f>SUMIF('HSD SAP Dump'!$F$2:$F$602,$A215,'HSD SAP Dump'!$D$2:$D$602)</f>
        <v>12</v>
      </c>
      <c r="I215" s="6">
        <v>27</v>
      </c>
    </row>
    <row r="216" spans="1:9" x14ac:dyDescent="0.35">
      <c r="A216" s="2">
        <v>247371</v>
      </c>
      <c r="B216" s="3" t="s">
        <v>234</v>
      </c>
      <c r="C216" s="2" t="s">
        <v>6</v>
      </c>
      <c r="D216" s="4" t="s">
        <v>14</v>
      </c>
      <c r="E216" s="5" t="s">
        <v>8</v>
      </c>
      <c r="F216" s="6">
        <f>SUMIF('MS SAP Dump'!$F$2:$F$603,$A216,'MS SAP Dump'!$D$2:$D$603)</f>
        <v>29</v>
      </c>
      <c r="G216" s="6">
        <v>22</v>
      </c>
      <c r="H216" s="6">
        <f>SUMIF('HSD SAP Dump'!$F$2:$F$602,$A216,'HSD SAP Dump'!$D$2:$D$602)</f>
        <v>33</v>
      </c>
      <c r="I216" s="6">
        <v>22</v>
      </c>
    </row>
    <row r="217" spans="1:9" x14ac:dyDescent="0.35">
      <c r="A217" s="2">
        <v>247496</v>
      </c>
      <c r="B217" s="3" t="s">
        <v>235</v>
      </c>
      <c r="C217" s="2" t="s">
        <v>6</v>
      </c>
      <c r="D217" s="4" t="s">
        <v>7</v>
      </c>
      <c r="E217" s="5" t="s">
        <v>8</v>
      </c>
      <c r="F217" s="6">
        <f>SUMIF('MS SAP Dump'!$F$2:$F$603,$A217,'MS SAP Dump'!$D$2:$D$603)</f>
        <v>0</v>
      </c>
      <c r="G217" s="6">
        <v>0</v>
      </c>
      <c r="H217" s="6">
        <f>SUMIF('HSD SAP Dump'!$F$2:$F$602,$A217,'HSD SAP Dump'!$D$2:$D$602)</f>
        <v>0</v>
      </c>
      <c r="I217" s="6">
        <v>0</v>
      </c>
    </row>
    <row r="218" spans="1:9" x14ac:dyDescent="0.35">
      <c r="A218" s="2">
        <v>247504</v>
      </c>
      <c r="B218" s="3" t="s">
        <v>236</v>
      </c>
      <c r="C218" s="2" t="s">
        <v>6</v>
      </c>
      <c r="D218" s="4" t="s">
        <v>14</v>
      </c>
      <c r="E218" s="5" t="s">
        <v>8</v>
      </c>
      <c r="F218" s="6">
        <f>SUMIF('MS SAP Dump'!$F$2:$F$603,$A218,'MS SAP Dump'!$D$2:$D$603)</f>
        <v>29</v>
      </c>
      <c r="G218" s="6">
        <v>75</v>
      </c>
      <c r="H218" s="6">
        <f>SUMIF('HSD SAP Dump'!$F$2:$F$602,$A218,'HSD SAP Dump'!$D$2:$D$602)</f>
        <v>53</v>
      </c>
      <c r="I218" s="6">
        <v>75</v>
      </c>
    </row>
    <row r="219" spans="1:9" x14ac:dyDescent="0.35">
      <c r="A219" s="2">
        <v>248455</v>
      </c>
      <c r="B219" s="3" t="s">
        <v>237</v>
      </c>
      <c r="C219" s="2" t="s">
        <v>6</v>
      </c>
      <c r="D219" s="4" t="s">
        <v>14</v>
      </c>
      <c r="E219" s="5" t="s">
        <v>8</v>
      </c>
      <c r="F219" s="6">
        <f>SUMIF('MS SAP Dump'!$F$2:$F$603,$A219,'MS SAP Dump'!$D$2:$D$603)</f>
        <v>3</v>
      </c>
      <c r="G219" s="6">
        <v>0</v>
      </c>
      <c r="H219" s="6">
        <f>SUMIF('HSD SAP Dump'!$F$2:$F$602,$A219,'HSD SAP Dump'!$D$2:$D$602)</f>
        <v>9</v>
      </c>
      <c r="I219" s="6">
        <v>0</v>
      </c>
    </row>
    <row r="220" spans="1:9" x14ac:dyDescent="0.35">
      <c r="A220" s="2">
        <v>251092</v>
      </c>
      <c r="B220" s="3" t="s">
        <v>238</v>
      </c>
      <c r="C220" s="2" t="s">
        <v>6</v>
      </c>
      <c r="D220" s="4" t="s">
        <v>26</v>
      </c>
      <c r="E220" s="5" t="s">
        <v>17</v>
      </c>
      <c r="F220" s="6">
        <f>SUMIF('MS SAP Dump'!$F$2:$F$603,$A220,'MS SAP Dump'!$D$2:$D$603)</f>
        <v>21</v>
      </c>
      <c r="G220" s="6">
        <v>77</v>
      </c>
      <c r="H220" s="6">
        <f>SUMIF('HSD SAP Dump'!$F$2:$F$602,$A220,'HSD SAP Dump'!$D$2:$D$602)</f>
        <v>75</v>
      </c>
      <c r="I220" s="6">
        <v>77</v>
      </c>
    </row>
    <row r="221" spans="1:9" x14ac:dyDescent="0.35">
      <c r="A221" s="2">
        <v>253797</v>
      </c>
      <c r="B221" s="3" t="s">
        <v>239</v>
      </c>
      <c r="C221" s="2" t="s">
        <v>6</v>
      </c>
      <c r="D221" s="4" t="s">
        <v>39</v>
      </c>
      <c r="E221" s="5" t="s">
        <v>40</v>
      </c>
      <c r="F221" s="6">
        <f>SUMIF('MS SAP Dump'!$F$2:$F$603,$A221,'MS SAP Dump'!$D$2:$D$603)</f>
        <v>57</v>
      </c>
      <c r="G221" s="6">
        <v>95</v>
      </c>
      <c r="H221" s="6">
        <f>SUMIF('HSD SAP Dump'!$F$2:$F$602,$A221,'HSD SAP Dump'!$D$2:$D$602)</f>
        <v>137</v>
      </c>
      <c r="I221" s="6">
        <v>95</v>
      </c>
    </row>
    <row r="222" spans="1:9" x14ac:dyDescent="0.35">
      <c r="A222" s="2">
        <v>254378</v>
      </c>
      <c r="B222" s="3" t="s">
        <v>240</v>
      </c>
      <c r="C222" s="2" t="s">
        <v>6</v>
      </c>
      <c r="D222" s="4" t="s">
        <v>47</v>
      </c>
      <c r="E222" s="5" t="s">
        <v>8</v>
      </c>
      <c r="F222" s="6">
        <f>SUMIF('MS SAP Dump'!$F$2:$F$603,$A222,'MS SAP Dump'!$D$2:$D$603)</f>
        <v>0</v>
      </c>
      <c r="G222" s="6">
        <v>99</v>
      </c>
      <c r="H222" s="6">
        <f>SUMIF('HSD SAP Dump'!$F$2:$F$602,$A222,'HSD SAP Dump'!$D$2:$D$602)</f>
        <v>0</v>
      </c>
      <c r="I222" s="6">
        <v>99</v>
      </c>
    </row>
    <row r="223" spans="1:9" x14ac:dyDescent="0.35">
      <c r="A223" s="2">
        <v>255618</v>
      </c>
      <c r="B223" s="3" t="s">
        <v>241</v>
      </c>
      <c r="C223" s="2" t="s">
        <v>6</v>
      </c>
      <c r="D223" s="4" t="s">
        <v>44</v>
      </c>
      <c r="E223" s="5" t="s">
        <v>40</v>
      </c>
      <c r="F223" s="6">
        <f>SUMIF('MS SAP Dump'!$F$2:$F$603,$A223,'MS SAP Dump'!$D$2:$D$603)</f>
        <v>50</v>
      </c>
      <c r="G223" s="6">
        <v>71</v>
      </c>
      <c r="H223" s="6">
        <f>SUMIF('HSD SAP Dump'!$F$2:$F$602,$A223,'HSD SAP Dump'!$D$2:$D$602)</f>
        <v>130</v>
      </c>
      <c r="I223" s="6">
        <v>71</v>
      </c>
    </row>
    <row r="224" spans="1:9" x14ac:dyDescent="0.35">
      <c r="A224" s="2">
        <v>255667</v>
      </c>
      <c r="B224" s="3" t="s">
        <v>242</v>
      </c>
      <c r="C224" s="2" t="s">
        <v>6</v>
      </c>
      <c r="D224" s="4" t="s">
        <v>16</v>
      </c>
      <c r="E224" s="5" t="s">
        <v>17</v>
      </c>
      <c r="F224" s="6">
        <f>SUMIF('MS SAP Dump'!$F$2:$F$603,$A224,'MS SAP Dump'!$D$2:$D$603)</f>
        <v>80.5</v>
      </c>
      <c r="G224" s="6">
        <v>87.5</v>
      </c>
      <c r="H224" s="6">
        <f>SUMIF('HSD SAP Dump'!$F$2:$F$602,$A224,'HSD SAP Dump'!$D$2:$D$602)</f>
        <v>129.5</v>
      </c>
      <c r="I224" s="6">
        <v>87.5</v>
      </c>
    </row>
    <row r="225" spans="1:9" x14ac:dyDescent="0.35">
      <c r="A225" s="2">
        <v>256437</v>
      </c>
      <c r="B225" s="3" t="s">
        <v>243</v>
      </c>
      <c r="C225" s="2" t="s">
        <v>6</v>
      </c>
      <c r="D225" s="4" t="s">
        <v>16</v>
      </c>
      <c r="E225" s="5" t="s">
        <v>17</v>
      </c>
      <c r="F225" s="6">
        <f>SUMIF('MS SAP Dump'!$F$2:$F$603,$A225,'MS SAP Dump'!$D$2:$D$603)</f>
        <v>48</v>
      </c>
      <c r="G225" s="6">
        <v>51</v>
      </c>
      <c r="H225" s="6">
        <f>SUMIF('HSD SAP Dump'!$F$2:$F$602,$A225,'HSD SAP Dump'!$D$2:$D$602)</f>
        <v>60</v>
      </c>
      <c r="I225" s="6">
        <v>51</v>
      </c>
    </row>
    <row r="226" spans="1:9" x14ac:dyDescent="0.35">
      <c r="A226" s="2">
        <v>256443</v>
      </c>
      <c r="B226" s="3" t="s">
        <v>244</v>
      </c>
      <c r="C226" s="2" t="s">
        <v>6</v>
      </c>
      <c r="D226" s="4" t="s">
        <v>16</v>
      </c>
      <c r="E226" s="5" t="s">
        <v>17</v>
      </c>
      <c r="F226" s="6">
        <f>SUMIF('MS SAP Dump'!$F$2:$F$603,$A226,'MS SAP Dump'!$D$2:$D$603)</f>
        <v>15</v>
      </c>
      <c r="G226" s="6">
        <v>72</v>
      </c>
      <c r="H226" s="6">
        <f>SUMIF('HSD SAP Dump'!$F$2:$F$602,$A226,'HSD SAP Dump'!$D$2:$D$602)</f>
        <v>105</v>
      </c>
      <c r="I226" s="6">
        <v>72</v>
      </c>
    </row>
    <row r="227" spans="1:9" x14ac:dyDescent="0.35">
      <c r="A227" s="2">
        <v>256518</v>
      </c>
      <c r="B227" s="3" t="s">
        <v>245</v>
      </c>
      <c r="C227" s="2" t="s">
        <v>6</v>
      </c>
      <c r="D227" s="4" t="s">
        <v>7</v>
      </c>
      <c r="E227" s="5" t="s">
        <v>8</v>
      </c>
      <c r="F227" s="6">
        <f>SUMIF('MS SAP Dump'!$F$2:$F$603,$A227,'MS SAP Dump'!$D$2:$D$603)</f>
        <v>40</v>
      </c>
      <c r="G227" s="6">
        <v>73.5</v>
      </c>
      <c r="H227" s="6">
        <f>SUMIF('HSD SAP Dump'!$F$2:$F$602,$A227,'HSD SAP Dump'!$D$2:$D$602)</f>
        <v>62</v>
      </c>
      <c r="I227" s="6">
        <v>73.5</v>
      </c>
    </row>
    <row r="228" spans="1:9" x14ac:dyDescent="0.35">
      <c r="A228" s="2">
        <v>257379</v>
      </c>
      <c r="B228" s="3" t="s">
        <v>246</v>
      </c>
      <c r="C228" s="2" t="s">
        <v>6</v>
      </c>
      <c r="D228" s="4" t="s">
        <v>39</v>
      </c>
      <c r="E228" s="5" t="s">
        <v>40</v>
      </c>
      <c r="F228" s="6">
        <f>SUMIF('MS SAP Dump'!$F$2:$F$603,$A228,'MS SAP Dump'!$D$2:$D$603)</f>
        <v>30</v>
      </c>
      <c r="G228" s="6">
        <v>24</v>
      </c>
      <c r="H228" s="6">
        <f>SUMIF('HSD SAP Dump'!$F$2:$F$602,$A228,'HSD SAP Dump'!$D$2:$D$602)</f>
        <v>36</v>
      </c>
      <c r="I228" s="6">
        <v>24</v>
      </c>
    </row>
    <row r="229" spans="1:9" x14ac:dyDescent="0.35">
      <c r="A229" s="2">
        <v>257425</v>
      </c>
      <c r="B229" s="3" t="s">
        <v>247</v>
      </c>
      <c r="C229" s="2" t="s">
        <v>6</v>
      </c>
      <c r="D229" s="4" t="s">
        <v>14</v>
      </c>
      <c r="E229" s="5" t="s">
        <v>8</v>
      </c>
      <c r="F229" s="6">
        <f>SUMIF('MS SAP Dump'!$F$2:$F$603,$A229,'MS SAP Dump'!$D$2:$D$603)</f>
        <v>90</v>
      </c>
      <c r="G229" s="6">
        <v>135</v>
      </c>
      <c r="H229" s="6">
        <f>SUMIF('HSD SAP Dump'!$F$2:$F$602,$A229,'HSD SAP Dump'!$D$2:$D$602)</f>
        <v>110</v>
      </c>
      <c r="I229" s="6">
        <v>135</v>
      </c>
    </row>
    <row r="230" spans="1:9" x14ac:dyDescent="0.35">
      <c r="A230" s="2">
        <v>258692</v>
      </c>
      <c r="B230" s="3" t="s">
        <v>248</v>
      </c>
      <c r="C230" s="2" t="s">
        <v>6</v>
      </c>
      <c r="D230" s="4" t="s">
        <v>47</v>
      </c>
      <c r="E230" s="5" t="s">
        <v>8</v>
      </c>
      <c r="F230" s="6">
        <f>SUMIF('MS SAP Dump'!$F$2:$F$603,$A230,'MS SAP Dump'!$D$2:$D$603)</f>
        <v>12</v>
      </c>
      <c r="G230" s="6">
        <v>60</v>
      </c>
      <c r="H230" s="6">
        <f>SUMIF('HSD SAP Dump'!$F$2:$F$602,$A230,'HSD SAP Dump'!$D$2:$D$602)</f>
        <v>86</v>
      </c>
      <c r="I230" s="6">
        <v>60</v>
      </c>
    </row>
    <row r="231" spans="1:9" x14ac:dyDescent="0.35">
      <c r="A231" s="2">
        <v>258697</v>
      </c>
      <c r="B231" s="3" t="s">
        <v>249</v>
      </c>
      <c r="C231" s="2" t="s">
        <v>6</v>
      </c>
      <c r="D231" s="4" t="s">
        <v>10</v>
      </c>
      <c r="E231" s="5" t="s">
        <v>8</v>
      </c>
      <c r="F231" s="6">
        <f>SUMIF('MS SAP Dump'!$F$2:$F$603,$A231,'MS SAP Dump'!$D$2:$D$603)</f>
        <v>39</v>
      </c>
      <c r="G231" s="6">
        <v>213</v>
      </c>
      <c r="H231" s="6">
        <f>SUMIF('HSD SAP Dump'!$F$2:$F$602,$A231,'HSD SAP Dump'!$D$2:$D$602)</f>
        <v>237</v>
      </c>
      <c r="I231" s="6">
        <v>213</v>
      </c>
    </row>
    <row r="232" spans="1:9" x14ac:dyDescent="0.35">
      <c r="A232" s="2">
        <v>258712</v>
      </c>
      <c r="B232" s="3" t="s">
        <v>250</v>
      </c>
      <c r="C232" s="2" t="s">
        <v>6</v>
      </c>
      <c r="D232" s="4" t="s">
        <v>26</v>
      </c>
      <c r="E232" s="5" t="s">
        <v>17</v>
      </c>
      <c r="F232" s="6">
        <f>SUMIF('MS SAP Dump'!$F$2:$F$603,$A232,'MS SAP Dump'!$D$2:$D$603)</f>
        <v>47</v>
      </c>
      <c r="G232" s="6">
        <v>125</v>
      </c>
      <c r="H232" s="6">
        <f>SUMIF('HSD SAP Dump'!$F$2:$F$602,$A232,'HSD SAP Dump'!$D$2:$D$602)</f>
        <v>153</v>
      </c>
      <c r="I232" s="6">
        <v>125</v>
      </c>
    </row>
    <row r="233" spans="1:9" x14ac:dyDescent="0.35">
      <c r="A233" s="2">
        <v>260035</v>
      </c>
      <c r="B233" s="3" t="s">
        <v>251</v>
      </c>
      <c r="C233" s="2" t="s">
        <v>6</v>
      </c>
      <c r="D233" s="4" t="s">
        <v>19</v>
      </c>
      <c r="E233" s="5" t="s">
        <v>17</v>
      </c>
      <c r="F233" s="6">
        <f>SUMIF('MS SAP Dump'!$F$2:$F$603,$A233,'MS SAP Dump'!$D$2:$D$603)</f>
        <v>60</v>
      </c>
      <c r="G233" s="6">
        <v>60</v>
      </c>
      <c r="H233" s="6">
        <f>SUMIF('HSD SAP Dump'!$F$2:$F$602,$A233,'HSD SAP Dump'!$D$2:$D$602)</f>
        <v>120</v>
      </c>
      <c r="I233" s="6">
        <v>60</v>
      </c>
    </row>
    <row r="234" spans="1:9" x14ac:dyDescent="0.35">
      <c r="A234" s="2">
        <v>260244</v>
      </c>
      <c r="B234" s="3" t="s">
        <v>252</v>
      </c>
      <c r="C234" s="2" t="s">
        <v>6</v>
      </c>
      <c r="D234" s="4" t="s">
        <v>14</v>
      </c>
      <c r="E234" s="5" t="s">
        <v>8</v>
      </c>
      <c r="F234" s="6">
        <f>SUMIF('MS SAP Dump'!$F$2:$F$603,$A234,'MS SAP Dump'!$D$2:$D$603)</f>
        <v>0</v>
      </c>
      <c r="G234" s="6">
        <v>0</v>
      </c>
      <c r="H234" s="6">
        <f>SUMIF('HSD SAP Dump'!$F$2:$F$602,$A234,'HSD SAP Dump'!$D$2:$D$602)</f>
        <v>0</v>
      </c>
      <c r="I234" s="6">
        <v>0</v>
      </c>
    </row>
    <row r="235" spans="1:9" x14ac:dyDescent="0.35">
      <c r="A235" s="2">
        <v>260257</v>
      </c>
      <c r="B235" s="3" t="s">
        <v>253</v>
      </c>
      <c r="C235" s="2" t="s">
        <v>6</v>
      </c>
      <c r="D235" s="4" t="s">
        <v>47</v>
      </c>
      <c r="E235" s="5" t="s">
        <v>8</v>
      </c>
      <c r="F235" s="6">
        <f>SUMIF('MS SAP Dump'!$F$2:$F$603,$A235,'MS SAP Dump'!$D$2:$D$603)</f>
        <v>27</v>
      </c>
      <c r="G235" s="6">
        <v>53</v>
      </c>
      <c r="H235" s="6">
        <f>SUMIF('HSD SAP Dump'!$F$2:$F$602,$A235,'HSD SAP Dump'!$D$2:$D$602)</f>
        <v>57</v>
      </c>
      <c r="I235" s="6">
        <v>53</v>
      </c>
    </row>
    <row r="236" spans="1:9" x14ac:dyDescent="0.35">
      <c r="A236" s="2">
        <v>260333</v>
      </c>
      <c r="B236" s="3" t="s">
        <v>254</v>
      </c>
      <c r="C236" s="2" t="s">
        <v>6</v>
      </c>
      <c r="D236" s="4" t="s">
        <v>7</v>
      </c>
      <c r="E236" s="5" t="s">
        <v>8</v>
      </c>
      <c r="F236" s="6">
        <f>SUMIF('MS SAP Dump'!$F$2:$F$603,$A236,'MS SAP Dump'!$D$2:$D$603)</f>
        <v>27</v>
      </c>
      <c r="G236" s="6">
        <v>42</v>
      </c>
      <c r="H236" s="6">
        <f>SUMIF('HSD SAP Dump'!$F$2:$F$602,$A236,'HSD SAP Dump'!$D$2:$D$602)</f>
        <v>45</v>
      </c>
      <c r="I236" s="6">
        <v>42</v>
      </c>
    </row>
    <row r="237" spans="1:9" x14ac:dyDescent="0.35">
      <c r="A237" s="2">
        <v>260363</v>
      </c>
      <c r="B237" s="3" t="s">
        <v>255</v>
      </c>
      <c r="C237" s="2" t="s">
        <v>6</v>
      </c>
      <c r="D237" s="4" t="s">
        <v>52</v>
      </c>
      <c r="E237" s="5" t="s">
        <v>8</v>
      </c>
      <c r="F237" s="6">
        <f>SUMIF('MS SAP Dump'!$F$2:$F$603,$A237,'MS SAP Dump'!$D$2:$D$603)</f>
        <v>15</v>
      </c>
      <c r="G237" s="6">
        <v>45</v>
      </c>
      <c r="H237" s="6">
        <f>SUMIF('HSD SAP Dump'!$F$2:$F$602,$A237,'HSD SAP Dump'!$D$2:$D$602)</f>
        <v>45</v>
      </c>
      <c r="I237" s="6">
        <v>45</v>
      </c>
    </row>
    <row r="238" spans="1:9" x14ac:dyDescent="0.35">
      <c r="A238" s="2">
        <v>260966</v>
      </c>
      <c r="B238" s="3" t="s">
        <v>256</v>
      </c>
      <c r="C238" s="2" t="s">
        <v>6</v>
      </c>
      <c r="D238" s="4" t="s">
        <v>44</v>
      </c>
      <c r="E238" s="5" t="s">
        <v>40</v>
      </c>
      <c r="F238" s="6">
        <f>SUMIF('MS SAP Dump'!$F$2:$F$603,$A238,'MS SAP Dump'!$D$2:$D$603)</f>
        <v>27</v>
      </c>
      <c r="G238" s="6">
        <v>24</v>
      </c>
      <c r="H238" s="6">
        <f>SUMIF('HSD SAP Dump'!$F$2:$F$602,$A238,'HSD SAP Dump'!$D$2:$D$602)</f>
        <v>33</v>
      </c>
      <c r="I238" s="6">
        <v>24</v>
      </c>
    </row>
    <row r="239" spans="1:9" x14ac:dyDescent="0.35">
      <c r="A239" s="2">
        <v>260987</v>
      </c>
      <c r="B239" s="3" t="s">
        <v>257</v>
      </c>
      <c r="C239" s="2" t="s">
        <v>6</v>
      </c>
      <c r="D239" s="4" t="s">
        <v>44</v>
      </c>
      <c r="E239" s="5" t="s">
        <v>40</v>
      </c>
      <c r="F239" s="6">
        <f>SUMIF('MS SAP Dump'!$F$2:$F$603,$A239,'MS SAP Dump'!$D$2:$D$603)</f>
        <v>21</v>
      </c>
      <c r="G239" s="6">
        <v>45</v>
      </c>
      <c r="H239" s="6">
        <f>SUMIF('HSD SAP Dump'!$F$2:$F$602,$A239,'HSD SAP Dump'!$D$2:$D$602)</f>
        <v>39</v>
      </c>
      <c r="I239" s="6">
        <v>45</v>
      </c>
    </row>
    <row r="240" spans="1:9" x14ac:dyDescent="0.35">
      <c r="A240" s="2">
        <v>262399</v>
      </c>
      <c r="B240" s="3" t="s">
        <v>258</v>
      </c>
      <c r="C240" s="2" t="s">
        <v>6</v>
      </c>
      <c r="D240" s="4" t="s">
        <v>52</v>
      </c>
      <c r="E240" s="5" t="s">
        <v>8</v>
      </c>
      <c r="F240" s="6">
        <f>SUMIF('MS SAP Dump'!$F$2:$F$603,$A240,'MS SAP Dump'!$D$2:$D$603)</f>
        <v>24</v>
      </c>
      <c r="G240" s="6">
        <v>72</v>
      </c>
      <c r="H240" s="6">
        <f>SUMIF('HSD SAP Dump'!$F$2:$F$602,$A240,'HSD SAP Dump'!$D$2:$D$602)</f>
        <v>72</v>
      </c>
      <c r="I240" s="6">
        <v>72</v>
      </c>
    </row>
    <row r="241" spans="1:9" x14ac:dyDescent="0.35">
      <c r="A241" s="2">
        <v>262928</v>
      </c>
      <c r="B241" s="3" t="s">
        <v>259</v>
      </c>
      <c r="C241" s="2" t="s">
        <v>6</v>
      </c>
      <c r="D241" s="4" t="s">
        <v>47</v>
      </c>
      <c r="E241" s="5" t="s">
        <v>8</v>
      </c>
      <c r="F241" s="6">
        <f>SUMIF('MS SAP Dump'!$F$2:$F$603,$A241,'MS SAP Dump'!$D$2:$D$603)</f>
        <v>67.5</v>
      </c>
      <c r="G241" s="6">
        <v>119</v>
      </c>
      <c r="H241" s="6">
        <f>SUMIF('HSD SAP Dump'!$F$2:$F$602,$A241,'HSD SAP Dump'!$D$2:$D$602)</f>
        <v>146.5</v>
      </c>
      <c r="I241" s="6">
        <v>119</v>
      </c>
    </row>
    <row r="242" spans="1:9" x14ac:dyDescent="0.35">
      <c r="A242" s="2">
        <v>263450</v>
      </c>
      <c r="B242" s="3" t="s">
        <v>260</v>
      </c>
      <c r="C242" s="2" t="s">
        <v>6</v>
      </c>
      <c r="D242" s="4" t="s">
        <v>47</v>
      </c>
      <c r="E242" s="5" t="s">
        <v>8</v>
      </c>
      <c r="F242" s="6">
        <f>SUMIF('MS SAP Dump'!$F$2:$F$603,$A242,'MS SAP Dump'!$D$2:$D$603)</f>
        <v>12</v>
      </c>
      <c r="G242" s="6">
        <v>24</v>
      </c>
      <c r="H242" s="6">
        <f>SUMIF('HSD SAP Dump'!$F$2:$F$602,$A242,'HSD SAP Dump'!$D$2:$D$602)</f>
        <v>24</v>
      </c>
      <c r="I242" s="6">
        <v>24</v>
      </c>
    </row>
    <row r="243" spans="1:9" x14ac:dyDescent="0.35">
      <c r="A243" s="2">
        <v>264117</v>
      </c>
      <c r="B243" s="3" t="s">
        <v>261</v>
      </c>
      <c r="C243" s="2" t="s">
        <v>6</v>
      </c>
      <c r="D243" s="4" t="s">
        <v>39</v>
      </c>
      <c r="E243" s="5" t="s">
        <v>40</v>
      </c>
      <c r="F243" s="6">
        <f>SUMIF('MS SAP Dump'!$F$2:$F$603,$A243,'MS SAP Dump'!$D$2:$D$603)</f>
        <v>111</v>
      </c>
      <c r="G243" s="6">
        <v>51</v>
      </c>
      <c r="H243" s="6">
        <f>SUMIF('HSD SAP Dump'!$F$2:$F$602,$A243,'HSD SAP Dump'!$D$2:$D$602)</f>
        <v>45</v>
      </c>
      <c r="I243" s="6">
        <v>51</v>
      </c>
    </row>
    <row r="244" spans="1:9" x14ac:dyDescent="0.35">
      <c r="A244" s="2">
        <v>264152</v>
      </c>
      <c r="B244" s="3" t="s">
        <v>262</v>
      </c>
      <c r="C244" s="2" t="s">
        <v>6</v>
      </c>
      <c r="D244" s="4" t="s">
        <v>52</v>
      </c>
      <c r="E244" s="5" t="s">
        <v>8</v>
      </c>
      <c r="F244" s="6">
        <f>SUMIF('MS SAP Dump'!$F$2:$F$603,$A244,'MS SAP Dump'!$D$2:$D$603)</f>
        <v>27</v>
      </c>
      <c r="G244" s="6">
        <v>125</v>
      </c>
      <c r="H244" s="6">
        <f>SUMIF('HSD SAP Dump'!$F$2:$F$602,$A244,'HSD SAP Dump'!$D$2:$D$602)</f>
        <v>69</v>
      </c>
      <c r="I244" s="6">
        <v>125</v>
      </c>
    </row>
    <row r="245" spans="1:9" x14ac:dyDescent="0.35">
      <c r="A245" s="2">
        <v>264781</v>
      </c>
      <c r="B245" s="3" t="s">
        <v>263</v>
      </c>
      <c r="C245" s="2" t="s">
        <v>6</v>
      </c>
      <c r="D245" s="4" t="s">
        <v>47</v>
      </c>
      <c r="E245" s="5" t="s">
        <v>8</v>
      </c>
      <c r="F245" s="6">
        <f>SUMIF('MS SAP Dump'!$F$2:$F$603,$A245,'MS SAP Dump'!$D$2:$D$603)</f>
        <v>65</v>
      </c>
      <c r="G245" s="6">
        <v>143.5</v>
      </c>
      <c r="H245" s="6">
        <f>SUMIF('HSD SAP Dump'!$F$2:$F$602,$A245,'HSD SAP Dump'!$D$2:$D$602)</f>
        <v>177</v>
      </c>
      <c r="I245" s="6">
        <v>143.5</v>
      </c>
    </row>
    <row r="246" spans="1:9" x14ac:dyDescent="0.35">
      <c r="A246" s="2">
        <v>264805</v>
      </c>
      <c r="B246" s="3" t="s">
        <v>264</v>
      </c>
      <c r="C246" s="2" t="s">
        <v>6</v>
      </c>
      <c r="D246" s="4" t="s">
        <v>14</v>
      </c>
      <c r="E246" s="5" t="s">
        <v>8</v>
      </c>
      <c r="F246" s="6">
        <f>SUMIF('MS SAP Dump'!$F$2:$F$603,$A246,'MS SAP Dump'!$D$2:$D$603)</f>
        <v>25</v>
      </c>
      <c r="G246" s="6">
        <v>0</v>
      </c>
      <c r="H246" s="6">
        <f>SUMIF('HSD SAP Dump'!$F$2:$F$602,$A246,'HSD SAP Dump'!$D$2:$D$602)</f>
        <v>59</v>
      </c>
      <c r="I246" s="6">
        <v>0</v>
      </c>
    </row>
    <row r="247" spans="1:9" x14ac:dyDescent="0.35">
      <c r="A247" s="2">
        <v>264823</v>
      </c>
      <c r="B247" s="3" t="s">
        <v>265</v>
      </c>
      <c r="C247" s="2" t="s">
        <v>6</v>
      </c>
      <c r="D247" s="4" t="s">
        <v>52</v>
      </c>
      <c r="E247" s="5" t="s">
        <v>8</v>
      </c>
      <c r="F247" s="6">
        <f>SUMIF('MS SAP Dump'!$F$2:$F$603,$A247,'MS SAP Dump'!$D$2:$D$603)</f>
        <v>24</v>
      </c>
      <c r="G247" s="6">
        <v>82</v>
      </c>
      <c r="H247" s="6">
        <f>SUMIF('HSD SAP Dump'!$F$2:$F$602,$A247,'HSD SAP Dump'!$D$2:$D$602)</f>
        <v>60</v>
      </c>
      <c r="I247" s="6">
        <v>82</v>
      </c>
    </row>
    <row r="248" spans="1:9" x14ac:dyDescent="0.35">
      <c r="A248" s="2">
        <v>265345</v>
      </c>
      <c r="B248" s="3" t="s">
        <v>266</v>
      </c>
      <c r="C248" s="2" t="s">
        <v>6</v>
      </c>
      <c r="D248" s="4" t="s">
        <v>44</v>
      </c>
      <c r="E248" s="5" t="s">
        <v>40</v>
      </c>
      <c r="F248" s="6">
        <f>SUMIF('MS SAP Dump'!$F$2:$F$603,$A248,'MS SAP Dump'!$D$2:$D$603)</f>
        <v>49</v>
      </c>
      <c r="G248" s="6">
        <v>80.5</v>
      </c>
      <c r="H248" s="6">
        <f>SUMIF('HSD SAP Dump'!$F$2:$F$602,$A248,'HSD SAP Dump'!$D$2:$D$602)</f>
        <v>105</v>
      </c>
      <c r="I248" s="6">
        <v>80.5</v>
      </c>
    </row>
    <row r="249" spans="1:9" x14ac:dyDescent="0.35">
      <c r="A249" s="2">
        <v>265363</v>
      </c>
      <c r="B249" s="3" t="s">
        <v>267</v>
      </c>
      <c r="C249" s="2" t="s">
        <v>6</v>
      </c>
      <c r="D249" s="4" t="s">
        <v>19</v>
      </c>
      <c r="E249" s="5" t="s">
        <v>17</v>
      </c>
      <c r="F249" s="6">
        <f>SUMIF('MS SAP Dump'!$F$2:$F$603,$A249,'MS SAP Dump'!$D$2:$D$603)</f>
        <v>56.5</v>
      </c>
      <c r="G249" s="6">
        <v>144</v>
      </c>
      <c r="H249" s="6">
        <f>SUMIF('HSD SAP Dump'!$F$2:$F$602,$A249,'HSD SAP Dump'!$D$2:$D$602)</f>
        <v>127.5</v>
      </c>
      <c r="I249" s="6">
        <v>144</v>
      </c>
    </row>
    <row r="250" spans="1:9" x14ac:dyDescent="0.35">
      <c r="A250" s="2">
        <v>265453</v>
      </c>
      <c r="B250" s="3" t="s">
        <v>268</v>
      </c>
      <c r="C250" s="2" t="s">
        <v>6</v>
      </c>
      <c r="D250" s="4" t="s">
        <v>47</v>
      </c>
      <c r="E250" s="5" t="s">
        <v>8</v>
      </c>
      <c r="F250" s="6">
        <f>SUMIF('MS SAP Dump'!$F$2:$F$603,$A250,'MS SAP Dump'!$D$2:$D$603)</f>
        <v>25</v>
      </c>
      <c r="G250" s="6">
        <v>80</v>
      </c>
      <c r="H250" s="6">
        <f>SUMIF('HSD SAP Dump'!$F$2:$F$602,$A250,'HSD SAP Dump'!$D$2:$D$602)</f>
        <v>55</v>
      </c>
      <c r="I250" s="6">
        <v>80</v>
      </c>
    </row>
    <row r="251" spans="1:9" x14ac:dyDescent="0.35">
      <c r="A251" s="2">
        <v>265455</v>
      </c>
      <c r="B251" s="3" t="s">
        <v>269</v>
      </c>
      <c r="C251" s="2" t="s">
        <v>6</v>
      </c>
      <c r="D251" s="4" t="s">
        <v>52</v>
      </c>
      <c r="E251" s="5" t="s">
        <v>8</v>
      </c>
      <c r="F251" s="6">
        <f>SUMIF('MS SAP Dump'!$F$2:$F$603,$A251,'MS SAP Dump'!$D$2:$D$603)</f>
        <v>36</v>
      </c>
      <c r="G251" s="6">
        <v>90</v>
      </c>
      <c r="H251" s="6">
        <f>SUMIF('HSD SAP Dump'!$F$2:$F$602,$A251,'HSD SAP Dump'!$D$2:$D$602)</f>
        <v>48</v>
      </c>
      <c r="I251" s="6">
        <v>90</v>
      </c>
    </row>
    <row r="252" spans="1:9" x14ac:dyDescent="0.35">
      <c r="A252" s="2">
        <v>265522</v>
      </c>
      <c r="B252" s="3" t="s">
        <v>270</v>
      </c>
      <c r="C252" s="2" t="s">
        <v>6</v>
      </c>
      <c r="D252" s="4" t="s">
        <v>14</v>
      </c>
      <c r="E252" s="5" t="s">
        <v>8</v>
      </c>
      <c r="F252" s="6">
        <f>SUMIF('MS SAP Dump'!$F$2:$F$603,$A252,'MS SAP Dump'!$D$2:$D$603)</f>
        <v>19.5</v>
      </c>
      <c r="G252" s="6">
        <v>100</v>
      </c>
      <c r="H252" s="6">
        <f>SUMIF('HSD SAP Dump'!$F$2:$F$602,$A252,'HSD SAP Dump'!$D$2:$D$602)</f>
        <v>56.5</v>
      </c>
      <c r="I252" s="6">
        <v>100</v>
      </c>
    </row>
    <row r="253" spans="1:9" x14ac:dyDescent="0.35">
      <c r="A253" s="2">
        <v>265541</v>
      </c>
      <c r="B253" s="3" t="s">
        <v>271</v>
      </c>
      <c r="C253" s="2" t="s">
        <v>6</v>
      </c>
      <c r="D253" s="4" t="s">
        <v>10</v>
      </c>
      <c r="E253" s="5" t="s">
        <v>8</v>
      </c>
      <c r="F253" s="6">
        <f>SUMIF('MS SAP Dump'!$F$2:$F$603,$A253,'MS SAP Dump'!$D$2:$D$603)</f>
        <v>25</v>
      </c>
      <c r="G253" s="6">
        <v>639</v>
      </c>
      <c r="H253" s="6">
        <f>SUMIF('HSD SAP Dump'!$F$2:$F$602,$A253,'HSD SAP Dump'!$D$2:$D$602)</f>
        <v>615</v>
      </c>
      <c r="I253" s="6">
        <v>639</v>
      </c>
    </row>
    <row r="254" spans="1:9" x14ac:dyDescent="0.35">
      <c r="A254" s="2">
        <v>265564</v>
      </c>
      <c r="B254" s="3" t="s">
        <v>272</v>
      </c>
      <c r="C254" s="2" t="s">
        <v>6</v>
      </c>
      <c r="D254" s="4" t="s">
        <v>52</v>
      </c>
      <c r="E254" s="5" t="s">
        <v>8</v>
      </c>
      <c r="F254" s="6">
        <f>SUMIF('MS SAP Dump'!$F$2:$F$603,$A254,'MS SAP Dump'!$D$2:$D$603)</f>
        <v>50</v>
      </c>
      <c r="G254" s="6">
        <v>110</v>
      </c>
      <c r="H254" s="6">
        <f>SUMIF('HSD SAP Dump'!$F$2:$F$602,$A254,'HSD SAP Dump'!$D$2:$D$602)</f>
        <v>70</v>
      </c>
      <c r="I254" s="6">
        <v>110</v>
      </c>
    </row>
    <row r="255" spans="1:9" x14ac:dyDescent="0.35">
      <c r="A255" s="2">
        <v>265916</v>
      </c>
      <c r="B255" s="3" t="s">
        <v>273</v>
      </c>
      <c r="C255" s="2" t="s">
        <v>6</v>
      </c>
      <c r="D255" s="4" t="s">
        <v>52</v>
      </c>
      <c r="E255" s="5" t="s">
        <v>8</v>
      </c>
      <c r="F255" s="6">
        <f>SUMIF('MS SAP Dump'!$F$2:$F$603,$A255,'MS SAP Dump'!$D$2:$D$603)</f>
        <v>17.5</v>
      </c>
      <c r="G255" s="6">
        <v>42</v>
      </c>
      <c r="H255" s="6">
        <f>SUMIF('HSD SAP Dump'!$F$2:$F$602,$A255,'HSD SAP Dump'!$D$2:$D$602)</f>
        <v>38.5</v>
      </c>
      <c r="I255" s="6">
        <v>42</v>
      </c>
    </row>
    <row r="256" spans="1:9" x14ac:dyDescent="0.35">
      <c r="A256" s="2">
        <v>266145</v>
      </c>
      <c r="B256" s="3" t="s">
        <v>274</v>
      </c>
      <c r="C256" s="2" t="s">
        <v>6</v>
      </c>
      <c r="D256" s="4" t="s">
        <v>44</v>
      </c>
      <c r="E256" s="5" t="s">
        <v>40</v>
      </c>
      <c r="F256" s="6">
        <f>SUMIF('MS SAP Dump'!$F$2:$F$603,$A256,'MS SAP Dump'!$D$2:$D$603)</f>
        <v>39</v>
      </c>
      <c r="G256" s="6">
        <v>81</v>
      </c>
      <c r="H256" s="6">
        <f>SUMIF('HSD SAP Dump'!$F$2:$F$602,$A256,'HSD SAP Dump'!$D$2:$D$602)</f>
        <v>81</v>
      </c>
      <c r="I256" s="6">
        <v>81</v>
      </c>
    </row>
    <row r="257" spans="1:9" x14ac:dyDescent="0.35">
      <c r="A257" s="2">
        <v>266147</v>
      </c>
      <c r="B257" s="3" t="s">
        <v>275</v>
      </c>
      <c r="C257" s="2" t="s">
        <v>6</v>
      </c>
      <c r="D257" s="4" t="s">
        <v>44</v>
      </c>
      <c r="E257" s="5" t="s">
        <v>40</v>
      </c>
      <c r="F257" s="6">
        <f>SUMIF('MS SAP Dump'!$F$2:$F$603,$A257,'MS SAP Dump'!$D$2:$D$603)</f>
        <v>39</v>
      </c>
      <c r="G257" s="6">
        <v>40</v>
      </c>
      <c r="H257" s="6">
        <f>SUMIF('HSD SAP Dump'!$F$2:$F$602,$A257,'HSD SAP Dump'!$D$2:$D$602)</f>
        <v>47</v>
      </c>
      <c r="I257" s="6">
        <v>40</v>
      </c>
    </row>
    <row r="258" spans="1:9" x14ac:dyDescent="0.35">
      <c r="A258" s="2">
        <v>266148</v>
      </c>
      <c r="B258" s="3" t="s">
        <v>276</v>
      </c>
      <c r="C258" s="2" t="s">
        <v>6</v>
      </c>
      <c r="D258" s="4" t="s">
        <v>39</v>
      </c>
      <c r="E258" s="5" t="s">
        <v>40</v>
      </c>
      <c r="F258" s="6">
        <f>SUMIF('MS SAP Dump'!$F$2:$F$603,$A258,'MS SAP Dump'!$D$2:$D$603)</f>
        <v>18</v>
      </c>
      <c r="G258" s="6">
        <v>0</v>
      </c>
      <c r="H258" s="6">
        <f>SUMIF('HSD SAP Dump'!$F$2:$F$602,$A258,'HSD SAP Dump'!$D$2:$D$602)</f>
        <v>30</v>
      </c>
      <c r="I258" s="6">
        <v>0</v>
      </c>
    </row>
    <row r="259" spans="1:9" x14ac:dyDescent="0.35">
      <c r="A259" s="2">
        <v>266382</v>
      </c>
      <c r="B259" s="3" t="s">
        <v>277</v>
      </c>
      <c r="C259" s="2" t="s">
        <v>6</v>
      </c>
      <c r="D259" s="4" t="s">
        <v>52</v>
      </c>
      <c r="E259" s="5" t="s">
        <v>8</v>
      </c>
      <c r="F259" s="6">
        <f>SUMIF('MS SAP Dump'!$F$2:$F$603,$A259,'MS SAP Dump'!$D$2:$D$603)</f>
        <v>0</v>
      </c>
      <c r="G259" s="6">
        <v>0</v>
      </c>
      <c r="H259" s="6">
        <f>SUMIF('HSD SAP Dump'!$F$2:$F$602,$A259,'HSD SAP Dump'!$D$2:$D$602)</f>
        <v>0</v>
      </c>
      <c r="I259" s="6">
        <v>0</v>
      </c>
    </row>
    <row r="260" spans="1:9" x14ac:dyDescent="0.35">
      <c r="A260" s="2">
        <v>266517</v>
      </c>
      <c r="B260" s="3" t="s">
        <v>278</v>
      </c>
      <c r="C260" s="2" t="s">
        <v>6</v>
      </c>
      <c r="D260" s="4" t="s">
        <v>26</v>
      </c>
      <c r="E260" s="5" t="s">
        <v>17</v>
      </c>
      <c r="F260" s="6">
        <f>SUMIF('MS SAP Dump'!$F$2:$F$603,$A260,'MS SAP Dump'!$D$2:$D$603)</f>
        <v>33</v>
      </c>
      <c r="G260" s="6">
        <v>37</v>
      </c>
      <c r="H260" s="6">
        <f>SUMIF('HSD SAP Dump'!$F$2:$F$602,$A260,'HSD SAP Dump'!$D$2:$D$602)</f>
        <v>15</v>
      </c>
      <c r="I260" s="6">
        <v>37</v>
      </c>
    </row>
    <row r="261" spans="1:9" x14ac:dyDescent="0.35">
      <c r="A261" s="2">
        <v>266553</v>
      </c>
      <c r="B261" s="3" t="s">
        <v>279</v>
      </c>
      <c r="C261" s="2" t="s">
        <v>6</v>
      </c>
      <c r="D261" s="4" t="s">
        <v>47</v>
      </c>
      <c r="E261" s="5" t="s">
        <v>8</v>
      </c>
      <c r="F261" s="6">
        <f>SUMIF('MS SAP Dump'!$F$2:$F$603,$A261,'MS SAP Dump'!$D$2:$D$603)</f>
        <v>27</v>
      </c>
      <c r="G261" s="6">
        <v>63</v>
      </c>
      <c r="H261" s="6">
        <f>SUMIF('HSD SAP Dump'!$F$2:$F$602,$A261,'HSD SAP Dump'!$D$2:$D$602)</f>
        <v>81</v>
      </c>
      <c r="I261" s="6">
        <v>63</v>
      </c>
    </row>
    <row r="262" spans="1:9" x14ac:dyDescent="0.35">
      <c r="A262" s="2">
        <v>266557</v>
      </c>
      <c r="B262" s="3" t="s">
        <v>280</v>
      </c>
      <c r="C262" s="2" t="s">
        <v>6</v>
      </c>
      <c r="D262" s="4" t="s">
        <v>44</v>
      </c>
      <c r="E262" s="5" t="s">
        <v>40</v>
      </c>
      <c r="F262" s="6">
        <f>SUMIF('MS SAP Dump'!$F$2:$F$603,$A262,'MS SAP Dump'!$D$2:$D$603)</f>
        <v>15</v>
      </c>
      <c r="G262" s="6">
        <v>42</v>
      </c>
      <c r="H262" s="6">
        <f>SUMIF('HSD SAP Dump'!$F$2:$F$602,$A262,'HSD SAP Dump'!$D$2:$D$602)</f>
        <v>45</v>
      </c>
      <c r="I262" s="6">
        <v>42</v>
      </c>
    </row>
    <row r="263" spans="1:9" x14ac:dyDescent="0.35">
      <c r="A263" s="2">
        <v>267352</v>
      </c>
      <c r="B263" s="3" t="s">
        <v>281</v>
      </c>
      <c r="C263" s="2" t="s">
        <v>6</v>
      </c>
      <c r="D263" s="4" t="s">
        <v>44</v>
      </c>
      <c r="E263" s="5" t="s">
        <v>40</v>
      </c>
      <c r="F263" s="6">
        <f>SUMIF('MS SAP Dump'!$F$2:$F$603,$A263,'MS SAP Dump'!$D$2:$D$603)</f>
        <v>78</v>
      </c>
      <c r="G263" s="6">
        <v>69</v>
      </c>
      <c r="H263" s="6">
        <f>SUMIF('HSD SAP Dump'!$F$2:$F$602,$A263,'HSD SAP Dump'!$D$2:$D$602)</f>
        <v>90</v>
      </c>
      <c r="I263" s="6">
        <v>69</v>
      </c>
    </row>
    <row r="264" spans="1:9" x14ac:dyDescent="0.35">
      <c r="A264" s="2">
        <v>267359</v>
      </c>
      <c r="B264" s="3" t="s">
        <v>282</v>
      </c>
      <c r="C264" s="2" t="s">
        <v>6</v>
      </c>
      <c r="D264" s="4" t="s">
        <v>52</v>
      </c>
      <c r="E264" s="5" t="s">
        <v>8</v>
      </c>
      <c r="F264" s="6">
        <f>SUMIF('MS SAP Dump'!$F$2:$F$603,$A264,'MS SAP Dump'!$D$2:$D$603)</f>
        <v>22</v>
      </c>
      <c r="G264" s="6">
        <v>35</v>
      </c>
      <c r="H264" s="6">
        <f>SUMIF('HSD SAP Dump'!$F$2:$F$602,$A264,'HSD SAP Dump'!$D$2:$D$602)</f>
        <v>38</v>
      </c>
      <c r="I264" s="6">
        <v>35</v>
      </c>
    </row>
    <row r="265" spans="1:9" x14ac:dyDescent="0.35">
      <c r="A265" s="2">
        <v>267555</v>
      </c>
      <c r="B265" s="3" t="s">
        <v>283</v>
      </c>
      <c r="C265" s="2" t="s">
        <v>6</v>
      </c>
      <c r="D265" s="4" t="s">
        <v>7</v>
      </c>
      <c r="E265" s="5" t="s">
        <v>8</v>
      </c>
      <c r="F265" s="6">
        <f>SUMIF('MS SAP Dump'!$F$2:$F$603,$A265,'MS SAP Dump'!$D$2:$D$603)</f>
        <v>18</v>
      </c>
      <c r="G265" s="6">
        <v>48</v>
      </c>
      <c r="H265" s="6">
        <f>SUMIF('HSD SAP Dump'!$F$2:$F$602,$A265,'HSD SAP Dump'!$D$2:$D$602)</f>
        <v>42</v>
      </c>
      <c r="I265" s="6">
        <v>48</v>
      </c>
    </row>
    <row r="266" spans="1:9" x14ac:dyDescent="0.35">
      <c r="A266" s="2">
        <v>268059</v>
      </c>
      <c r="B266" s="3" t="s">
        <v>284</v>
      </c>
      <c r="C266" s="2" t="s">
        <v>6</v>
      </c>
      <c r="D266" s="4" t="s">
        <v>52</v>
      </c>
      <c r="E266" s="5" t="s">
        <v>8</v>
      </c>
      <c r="F266" s="6">
        <f>SUMIF('MS SAP Dump'!$F$2:$F$603,$A266,'MS SAP Dump'!$D$2:$D$603)</f>
        <v>18</v>
      </c>
      <c r="G266" s="6">
        <v>87</v>
      </c>
      <c r="H266" s="6">
        <f>SUMIF('HSD SAP Dump'!$F$2:$F$602,$A266,'HSD SAP Dump'!$D$2:$D$602)</f>
        <v>78</v>
      </c>
      <c r="I266" s="6">
        <v>87</v>
      </c>
    </row>
    <row r="267" spans="1:9" x14ac:dyDescent="0.35">
      <c r="A267" s="2">
        <v>268457</v>
      </c>
      <c r="B267" s="3" t="s">
        <v>285</v>
      </c>
      <c r="C267" s="2" t="s">
        <v>6</v>
      </c>
      <c r="D267" s="4" t="s">
        <v>39</v>
      </c>
      <c r="E267" s="5" t="s">
        <v>40</v>
      </c>
      <c r="F267" s="6">
        <f>SUMIF('MS SAP Dump'!$F$2:$F$603,$A267,'MS SAP Dump'!$D$2:$D$603)</f>
        <v>39</v>
      </c>
      <c r="G267" s="6">
        <v>53</v>
      </c>
      <c r="H267" s="6">
        <f>SUMIF('HSD SAP Dump'!$F$2:$F$602,$A267,'HSD SAP Dump'!$D$2:$D$602)</f>
        <v>45</v>
      </c>
      <c r="I267" s="6">
        <v>53</v>
      </c>
    </row>
    <row r="268" spans="1:9" x14ac:dyDescent="0.35">
      <c r="A268" s="2">
        <v>268479</v>
      </c>
      <c r="B268" s="3" t="s">
        <v>286</v>
      </c>
      <c r="C268" s="2" t="s">
        <v>6</v>
      </c>
      <c r="D268" s="4" t="s">
        <v>19</v>
      </c>
      <c r="E268" s="5" t="s">
        <v>17</v>
      </c>
      <c r="F268" s="6">
        <f>SUMIF('MS SAP Dump'!$F$2:$F$603,$A268,'MS SAP Dump'!$D$2:$D$603)</f>
        <v>18</v>
      </c>
      <c r="G268" s="6">
        <v>34</v>
      </c>
      <c r="H268" s="6">
        <f>SUMIF('HSD SAP Dump'!$F$2:$F$602,$A268,'HSD SAP Dump'!$D$2:$D$602)</f>
        <v>42</v>
      </c>
      <c r="I268" s="6">
        <v>34</v>
      </c>
    </row>
    <row r="269" spans="1:9" x14ac:dyDescent="0.35">
      <c r="A269" s="2">
        <v>268525</v>
      </c>
      <c r="B269" s="3" t="s">
        <v>287</v>
      </c>
      <c r="C269" s="2" t="s">
        <v>6</v>
      </c>
      <c r="D269" s="4" t="s">
        <v>16</v>
      </c>
      <c r="E269" s="5" t="s">
        <v>17</v>
      </c>
      <c r="F269" s="6">
        <f>SUMIF('MS SAP Dump'!$F$2:$F$603,$A269,'MS SAP Dump'!$D$2:$D$603)</f>
        <v>31.5</v>
      </c>
      <c r="G269" s="6">
        <v>57</v>
      </c>
      <c r="H269" s="6">
        <f>SUMIF('HSD SAP Dump'!$F$2:$F$602,$A269,'HSD SAP Dump'!$D$2:$D$602)</f>
        <v>80.5</v>
      </c>
      <c r="I269" s="6">
        <v>57</v>
      </c>
    </row>
    <row r="270" spans="1:9" x14ac:dyDescent="0.35">
      <c r="A270" s="2">
        <v>268527</v>
      </c>
      <c r="B270" s="3" t="s">
        <v>288</v>
      </c>
      <c r="C270" s="2" t="s">
        <v>6</v>
      </c>
      <c r="D270" s="4" t="s">
        <v>47</v>
      </c>
      <c r="E270" s="5" t="s">
        <v>8</v>
      </c>
      <c r="F270" s="6">
        <f>SUMIF('MS SAP Dump'!$F$2:$F$603,$A270,'MS SAP Dump'!$D$2:$D$603)</f>
        <v>14.5</v>
      </c>
      <c r="G270" s="6">
        <v>17.5</v>
      </c>
      <c r="H270" s="6">
        <f>SUMIF('HSD SAP Dump'!$F$2:$F$602,$A270,'HSD SAP Dump'!$D$2:$D$602)</f>
        <v>43.5</v>
      </c>
      <c r="I270" s="6">
        <v>17.5</v>
      </c>
    </row>
    <row r="271" spans="1:9" x14ac:dyDescent="0.35">
      <c r="A271" s="2">
        <v>268560</v>
      </c>
      <c r="B271" s="3" t="s">
        <v>289</v>
      </c>
      <c r="C271" s="2" t="s">
        <v>6</v>
      </c>
      <c r="D271" s="4" t="s">
        <v>52</v>
      </c>
      <c r="E271" s="5" t="s">
        <v>8</v>
      </c>
      <c r="F271" s="6">
        <f>SUMIF('MS SAP Dump'!$F$2:$F$603,$A271,'MS SAP Dump'!$D$2:$D$603)</f>
        <v>27</v>
      </c>
      <c r="G271" s="6">
        <v>79.5</v>
      </c>
      <c r="H271" s="6">
        <f>SUMIF('HSD SAP Dump'!$F$2:$F$602,$A271,'HSD SAP Dump'!$D$2:$D$602)</f>
        <v>69</v>
      </c>
      <c r="I271" s="6">
        <v>79.5</v>
      </c>
    </row>
    <row r="272" spans="1:9" x14ac:dyDescent="0.35">
      <c r="A272" s="2">
        <v>268569</v>
      </c>
      <c r="B272" s="3" t="s">
        <v>290</v>
      </c>
      <c r="C272" s="2" t="s">
        <v>6</v>
      </c>
      <c r="D272" s="4" t="s">
        <v>16</v>
      </c>
      <c r="E272" s="5" t="s">
        <v>17</v>
      </c>
      <c r="F272" s="6">
        <f>SUMIF('MS SAP Dump'!$F$2:$F$603,$A272,'MS SAP Dump'!$D$2:$D$603)</f>
        <v>27</v>
      </c>
      <c r="G272" s="6">
        <v>69</v>
      </c>
      <c r="H272" s="6">
        <f>SUMIF('HSD SAP Dump'!$F$2:$F$602,$A272,'HSD SAP Dump'!$D$2:$D$602)</f>
        <v>33</v>
      </c>
      <c r="I272" s="6">
        <v>69</v>
      </c>
    </row>
    <row r="273" spans="1:9" x14ac:dyDescent="0.35">
      <c r="A273" s="2">
        <v>268571</v>
      </c>
      <c r="B273" s="3" t="s">
        <v>291</v>
      </c>
      <c r="C273" s="2" t="s">
        <v>6</v>
      </c>
      <c r="D273" s="4" t="s">
        <v>16</v>
      </c>
      <c r="E273" s="5" t="s">
        <v>17</v>
      </c>
      <c r="F273" s="6">
        <f>SUMIF('MS SAP Dump'!$F$2:$F$603,$A273,'MS SAP Dump'!$D$2:$D$603)</f>
        <v>17.5</v>
      </c>
      <c r="G273" s="6">
        <v>73</v>
      </c>
      <c r="H273" s="6">
        <f>SUMIF('HSD SAP Dump'!$F$2:$F$602,$A273,'HSD SAP Dump'!$D$2:$D$602)</f>
        <v>52.5</v>
      </c>
      <c r="I273" s="6">
        <v>73</v>
      </c>
    </row>
    <row r="274" spans="1:9" x14ac:dyDescent="0.35">
      <c r="A274" s="2">
        <v>268574</v>
      </c>
      <c r="B274" s="3" t="s">
        <v>292</v>
      </c>
      <c r="C274" s="2" t="s">
        <v>6</v>
      </c>
      <c r="D274" s="4" t="s">
        <v>7</v>
      </c>
      <c r="E274" s="5" t="s">
        <v>8</v>
      </c>
      <c r="F274" s="6">
        <f>SUMIF('MS SAP Dump'!$F$2:$F$603,$A274,'MS SAP Dump'!$D$2:$D$603)</f>
        <v>27</v>
      </c>
      <c r="G274" s="6">
        <v>75</v>
      </c>
      <c r="H274" s="6">
        <f>SUMIF('HSD SAP Dump'!$F$2:$F$602,$A274,'HSD SAP Dump'!$D$2:$D$602)</f>
        <v>57</v>
      </c>
      <c r="I274" s="6">
        <v>75</v>
      </c>
    </row>
    <row r="275" spans="1:9" x14ac:dyDescent="0.35">
      <c r="A275" s="2">
        <v>268955</v>
      </c>
      <c r="B275" s="3" t="s">
        <v>293</v>
      </c>
      <c r="C275" s="2" t="s">
        <v>6</v>
      </c>
      <c r="D275" s="4" t="s">
        <v>44</v>
      </c>
      <c r="E275" s="5" t="s">
        <v>40</v>
      </c>
      <c r="F275" s="6">
        <f>SUMIF('MS SAP Dump'!$F$2:$F$603,$A275,'MS SAP Dump'!$D$2:$D$603)</f>
        <v>30</v>
      </c>
      <c r="G275" s="6">
        <v>0</v>
      </c>
      <c r="H275" s="6">
        <f>SUMIF('HSD SAP Dump'!$F$2:$F$602,$A275,'HSD SAP Dump'!$D$2:$D$602)</f>
        <v>54</v>
      </c>
      <c r="I275" s="6">
        <v>0</v>
      </c>
    </row>
    <row r="276" spans="1:9" x14ac:dyDescent="0.35">
      <c r="A276" s="2">
        <v>269348</v>
      </c>
      <c r="B276" s="3" t="s">
        <v>294</v>
      </c>
      <c r="C276" s="2" t="s">
        <v>6</v>
      </c>
      <c r="D276" s="4" t="s">
        <v>12</v>
      </c>
      <c r="E276" s="5" t="s">
        <v>8</v>
      </c>
      <c r="F276" s="6">
        <f>SUMIF('MS SAP Dump'!$F$2:$F$603,$A276,'MS SAP Dump'!$D$2:$D$603)</f>
        <v>154</v>
      </c>
      <c r="G276" s="6">
        <v>52.5</v>
      </c>
      <c r="H276" s="6">
        <f>SUMIF('HSD SAP Dump'!$F$2:$F$602,$A276,'HSD SAP Dump'!$D$2:$D$602)</f>
        <v>56</v>
      </c>
      <c r="I276" s="6">
        <v>52.5</v>
      </c>
    </row>
    <row r="277" spans="1:9" x14ac:dyDescent="0.35">
      <c r="A277" s="2">
        <v>269385</v>
      </c>
      <c r="B277" s="3" t="s">
        <v>295</v>
      </c>
      <c r="C277" s="2" t="s">
        <v>6</v>
      </c>
      <c r="D277" s="4" t="s">
        <v>7</v>
      </c>
      <c r="E277" s="5" t="s">
        <v>8</v>
      </c>
      <c r="F277" s="6">
        <f>SUMIF('MS SAP Dump'!$F$2:$F$603,$A277,'MS SAP Dump'!$D$2:$D$603)</f>
        <v>35</v>
      </c>
      <c r="G277" s="6">
        <v>70</v>
      </c>
      <c r="H277" s="6">
        <f>SUMIF('HSD SAP Dump'!$F$2:$F$602,$A277,'HSD SAP Dump'!$D$2:$D$602)</f>
        <v>85</v>
      </c>
      <c r="I277" s="6">
        <v>70</v>
      </c>
    </row>
    <row r="278" spans="1:9" x14ac:dyDescent="0.35">
      <c r="A278" s="2">
        <v>269389</v>
      </c>
      <c r="B278" s="3" t="s">
        <v>296</v>
      </c>
      <c r="C278" s="2" t="s">
        <v>6</v>
      </c>
      <c r="D278" s="4" t="s">
        <v>16</v>
      </c>
      <c r="E278" s="5" t="s">
        <v>17</v>
      </c>
      <c r="F278" s="6">
        <f>SUMIF('MS SAP Dump'!$F$2:$F$603,$A278,'MS SAP Dump'!$D$2:$D$603)</f>
        <v>42.5</v>
      </c>
      <c r="G278" s="6">
        <v>45.5</v>
      </c>
      <c r="H278" s="6">
        <f>SUMIF('HSD SAP Dump'!$F$2:$F$602,$A278,'HSD SAP Dump'!$D$2:$D$602)</f>
        <v>99.5</v>
      </c>
      <c r="I278" s="6">
        <v>45.5</v>
      </c>
    </row>
    <row r="279" spans="1:9" x14ac:dyDescent="0.35">
      <c r="A279" s="2">
        <v>269488</v>
      </c>
      <c r="B279" s="3" t="s">
        <v>297</v>
      </c>
      <c r="C279" s="2" t="s">
        <v>6</v>
      </c>
      <c r="D279" s="4" t="s">
        <v>44</v>
      </c>
      <c r="E279" s="5" t="s">
        <v>40</v>
      </c>
      <c r="F279" s="6">
        <f>SUMIF('MS SAP Dump'!$F$2:$F$603,$A279,'MS SAP Dump'!$D$2:$D$603)</f>
        <v>6</v>
      </c>
      <c r="G279" s="6">
        <v>18</v>
      </c>
      <c r="H279" s="6">
        <f>SUMIF('HSD SAP Dump'!$F$2:$F$602,$A279,'HSD SAP Dump'!$D$2:$D$602)</f>
        <v>6</v>
      </c>
      <c r="I279" s="6">
        <v>18</v>
      </c>
    </row>
    <row r="280" spans="1:9" x14ac:dyDescent="0.35">
      <c r="A280" s="2">
        <v>269890</v>
      </c>
      <c r="B280" s="3" t="s">
        <v>298</v>
      </c>
      <c r="C280" s="2" t="s">
        <v>6</v>
      </c>
      <c r="D280" s="4" t="s">
        <v>10</v>
      </c>
      <c r="E280" s="5" t="s">
        <v>8</v>
      </c>
      <c r="F280" s="6">
        <f>SUMIF('MS SAP Dump'!$F$2:$F$603,$A280,'MS SAP Dump'!$D$2:$D$603)</f>
        <v>24</v>
      </c>
      <c r="G280" s="6">
        <v>153.5</v>
      </c>
      <c r="H280" s="6">
        <f>SUMIF('HSD SAP Dump'!$F$2:$F$602,$A280,'HSD SAP Dump'!$D$2:$D$602)</f>
        <v>72</v>
      </c>
      <c r="I280" s="6">
        <v>153.5</v>
      </c>
    </row>
    <row r="281" spans="1:9" x14ac:dyDescent="0.35">
      <c r="A281" s="2">
        <v>269896</v>
      </c>
      <c r="B281" s="3" t="s">
        <v>299</v>
      </c>
      <c r="C281" s="2" t="s">
        <v>6</v>
      </c>
      <c r="D281" s="4" t="s">
        <v>19</v>
      </c>
      <c r="E281" s="5" t="s">
        <v>17</v>
      </c>
      <c r="F281" s="6">
        <f>SUMIF('MS SAP Dump'!$F$2:$F$603,$A281,'MS SAP Dump'!$D$2:$D$603)</f>
        <v>26</v>
      </c>
      <c r="G281" s="6">
        <v>76.5</v>
      </c>
      <c r="H281" s="6">
        <f>SUMIF('HSD SAP Dump'!$F$2:$F$602,$A281,'HSD SAP Dump'!$D$2:$D$602)</f>
        <v>78</v>
      </c>
      <c r="I281" s="6">
        <v>76.5</v>
      </c>
    </row>
    <row r="282" spans="1:9" x14ac:dyDescent="0.35">
      <c r="A282" s="2">
        <v>271058</v>
      </c>
      <c r="B282" s="3" t="s">
        <v>300</v>
      </c>
      <c r="C282" s="2" t="s">
        <v>6</v>
      </c>
      <c r="D282" s="4" t="s">
        <v>10</v>
      </c>
      <c r="E282" s="5" t="s">
        <v>8</v>
      </c>
      <c r="F282" s="6">
        <f>SUMIF('MS SAP Dump'!$F$2:$F$603,$A282,'MS SAP Dump'!$D$2:$D$603)</f>
        <v>60</v>
      </c>
      <c r="G282" s="6">
        <v>245</v>
      </c>
      <c r="H282" s="6">
        <f>SUMIF('HSD SAP Dump'!$F$2:$F$602,$A282,'HSD SAP Dump'!$D$2:$D$602)</f>
        <v>340</v>
      </c>
      <c r="I282" s="6">
        <v>245</v>
      </c>
    </row>
    <row r="283" spans="1:9" x14ac:dyDescent="0.35">
      <c r="A283" s="2">
        <v>271059</v>
      </c>
      <c r="B283" s="3" t="s">
        <v>301</v>
      </c>
      <c r="C283" s="2" t="s">
        <v>6</v>
      </c>
      <c r="D283" s="4" t="s">
        <v>10</v>
      </c>
      <c r="E283" s="5" t="s">
        <v>8</v>
      </c>
      <c r="F283" s="6">
        <f>SUMIF('MS SAP Dump'!$F$2:$F$603,$A283,'MS SAP Dump'!$D$2:$D$603)</f>
        <v>54</v>
      </c>
      <c r="G283" s="6">
        <v>154</v>
      </c>
      <c r="H283" s="6">
        <f>SUMIF('HSD SAP Dump'!$F$2:$F$602,$A283,'HSD SAP Dump'!$D$2:$D$602)</f>
        <v>174</v>
      </c>
      <c r="I283" s="6">
        <v>154</v>
      </c>
    </row>
    <row r="284" spans="1:9" x14ac:dyDescent="0.35">
      <c r="A284" s="2">
        <v>271657</v>
      </c>
      <c r="B284" s="3" t="s">
        <v>302</v>
      </c>
      <c r="C284" s="2" t="s">
        <v>6</v>
      </c>
      <c r="D284" s="4" t="s">
        <v>44</v>
      </c>
      <c r="E284" s="5" t="s">
        <v>40</v>
      </c>
      <c r="F284" s="6">
        <f>SUMIF('MS SAP Dump'!$F$2:$F$603,$A284,'MS SAP Dump'!$D$2:$D$603)</f>
        <v>60.5</v>
      </c>
      <c r="G284" s="6">
        <v>87</v>
      </c>
      <c r="H284" s="6">
        <f>SUMIF('HSD SAP Dump'!$F$2:$F$602,$A284,'HSD SAP Dump'!$D$2:$D$602)</f>
        <v>81.5</v>
      </c>
      <c r="I284" s="6">
        <v>87</v>
      </c>
    </row>
    <row r="285" spans="1:9" x14ac:dyDescent="0.35">
      <c r="A285" s="2">
        <v>271759</v>
      </c>
      <c r="B285" s="3" t="s">
        <v>303</v>
      </c>
      <c r="C285" s="2" t="s">
        <v>6</v>
      </c>
      <c r="D285" s="4" t="s">
        <v>16</v>
      </c>
      <c r="E285" s="5" t="s">
        <v>17</v>
      </c>
      <c r="F285" s="6">
        <f>SUMIF('MS SAP Dump'!$F$2:$F$603,$A285,'MS SAP Dump'!$D$2:$D$603)</f>
        <v>54</v>
      </c>
      <c r="G285" s="6">
        <v>85</v>
      </c>
      <c r="H285" s="6">
        <f>SUMIF('HSD SAP Dump'!$F$2:$F$602,$A285,'HSD SAP Dump'!$D$2:$D$602)</f>
        <v>102</v>
      </c>
      <c r="I285" s="6">
        <v>85</v>
      </c>
    </row>
    <row r="286" spans="1:9" x14ac:dyDescent="0.35">
      <c r="A286" s="2">
        <v>271784</v>
      </c>
      <c r="B286" s="3" t="s">
        <v>304</v>
      </c>
      <c r="C286" s="2" t="s">
        <v>6</v>
      </c>
      <c r="D286" s="4" t="s">
        <v>10</v>
      </c>
      <c r="E286" s="5" t="s">
        <v>8</v>
      </c>
      <c r="F286" s="6">
        <f>SUMIF('MS SAP Dump'!$F$2:$F$603,$A286,'MS SAP Dump'!$D$2:$D$603)</f>
        <v>40</v>
      </c>
      <c r="G286" s="6">
        <v>279</v>
      </c>
      <c r="H286" s="6">
        <f>SUMIF('HSD SAP Dump'!$F$2:$F$602,$A286,'HSD SAP Dump'!$D$2:$D$602)</f>
        <v>300</v>
      </c>
      <c r="I286" s="6">
        <v>279</v>
      </c>
    </row>
    <row r="287" spans="1:9" x14ac:dyDescent="0.35">
      <c r="A287" s="2">
        <v>271800</v>
      </c>
      <c r="B287" s="3" t="s">
        <v>305</v>
      </c>
      <c r="C287" s="2" t="s">
        <v>6</v>
      </c>
      <c r="D287" s="4" t="s">
        <v>44</v>
      </c>
      <c r="E287" s="5" t="s">
        <v>40</v>
      </c>
      <c r="F287" s="6">
        <f>SUMIF('MS SAP Dump'!$F$2:$F$603,$A287,'MS SAP Dump'!$D$2:$D$603)</f>
        <v>75</v>
      </c>
      <c r="G287" s="6">
        <v>170</v>
      </c>
      <c r="H287" s="6">
        <f>SUMIF('HSD SAP Dump'!$F$2:$F$602,$A287,'HSD SAP Dump'!$D$2:$D$602)</f>
        <v>245</v>
      </c>
      <c r="I287" s="6">
        <v>170</v>
      </c>
    </row>
    <row r="288" spans="1:9" x14ac:dyDescent="0.35">
      <c r="A288" s="2">
        <v>272281</v>
      </c>
      <c r="B288" s="3" t="s">
        <v>306</v>
      </c>
      <c r="C288" s="2" t="s">
        <v>6</v>
      </c>
      <c r="D288" s="4" t="s">
        <v>39</v>
      </c>
      <c r="E288" s="5" t="s">
        <v>40</v>
      </c>
      <c r="F288" s="6">
        <f>SUMIF('MS SAP Dump'!$F$2:$F$603,$A288,'MS SAP Dump'!$D$2:$D$603)</f>
        <v>36</v>
      </c>
      <c r="G288" s="6">
        <v>45</v>
      </c>
      <c r="H288" s="6">
        <f>SUMIF('HSD SAP Dump'!$F$2:$F$602,$A288,'HSD SAP Dump'!$D$2:$D$602)</f>
        <v>72</v>
      </c>
      <c r="I288" s="6">
        <v>45</v>
      </c>
    </row>
    <row r="289" spans="1:9" x14ac:dyDescent="0.35">
      <c r="A289" s="2">
        <v>272296</v>
      </c>
      <c r="B289" s="3" t="s">
        <v>307</v>
      </c>
      <c r="C289" s="2" t="s">
        <v>6</v>
      </c>
      <c r="D289" s="4" t="s">
        <v>47</v>
      </c>
      <c r="E289" s="5" t="s">
        <v>8</v>
      </c>
      <c r="F289" s="6">
        <f>SUMIF('MS SAP Dump'!$F$2:$F$603,$A289,'MS SAP Dump'!$D$2:$D$603)</f>
        <v>30</v>
      </c>
      <c r="G289" s="6">
        <v>60</v>
      </c>
      <c r="H289" s="6">
        <f>SUMIF('HSD SAP Dump'!$F$2:$F$602,$A289,'HSD SAP Dump'!$D$2:$D$602)</f>
        <v>78</v>
      </c>
      <c r="I289" s="6">
        <v>60</v>
      </c>
    </row>
    <row r="290" spans="1:9" x14ac:dyDescent="0.35">
      <c r="A290" s="2">
        <v>272298</v>
      </c>
      <c r="B290" s="3" t="s">
        <v>308</v>
      </c>
      <c r="C290" s="2" t="s">
        <v>6</v>
      </c>
      <c r="D290" s="4" t="s">
        <v>7</v>
      </c>
      <c r="E290" s="5" t="s">
        <v>8</v>
      </c>
      <c r="F290" s="6">
        <f>SUMIF('MS SAP Dump'!$F$2:$F$603,$A290,'MS SAP Dump'!$D$2:$D$603)</f>
        <v>33</v>
      </c>
      <c r="G290" s="6">
        <v>108</v>
      </c>
      <c r="H290" s="6">
        <f>SUMIF('HSD SAP Dump'!$F$2:$F$602,$A290,'HSD SAP Dump'!$D$2:$D$602)</f>
        <v>111</v>
      </c>
      <c r="I290" s="6">
        <v>108</v>
      </c>
    </row>
    <row r="291" spans="1:9" x14ac:dyDescent="0.35">
      <c r="A291" s="2">
        <v>272312</v>
      </c>
      <c r="B291" s="3" t="s">
        <v>309</v>
      </c>
      <c r="C291" s="2" t="s">
        <v>6</v>
      </c>
      <c r="D291" s="4" t="s">
        <v>7</v>
      </c>
      <c r="E291" s="5" t="s">
        <v>8</v>
      </c>
      <c r="F291" s="6">
        <f>SUMIF('MS SAP Dump'!$F$2:$F$603,$A291,'MS SAP Dump'!$D$2:$D$603)</f>
        <v>20</v>
      </c>
      <c r="G291" s="6">
        <v>39</v>
      </c>
      <c r="H291" s="6">
        <f>SUMIF('HSD SAP Dump'!$F$2:$F$602,$A291,'HSD SAP Dump'!$D$2:$D$602)</f>
        <v>40</v>
      </c>
      <c r="I291" s="6">
        <v>39</v>
      </c>
    </row>
    <row r="292" spans="1:9" x14ac:dyDescent="0.35">
      <c r="A292" s="2">
        <v>272317</v>
      </c>
      <c r="B292" s="3" t="s">
        <v>310</v>
      </c>
      <c r="C292" s="2" t="s">
        <v>6</v>
      </c>
      <c r="D292" s="4" t="s">
        <v>52</v>
      </c>
      <c r="E292" s="5" t="s">
        <v>8</v>
      </c>
      <c r="F292" s="6">
        <f>SUMIF('MS SAP Dump'!$F$2:$F$603,$A292,'MS SAP Dump'!$D$2:$D$603)</f>
        <v>15</v>
      </c>
      <c r="G292" s="6">
        <v>30</v>
      </c>
      <c r="H292" s="6">
        <f>SUMIF('HSD SAP Dump'!$F$2:$F$602,$A292,'HSD SAP Dump'!$D$2:$D$602)</f>
        <v>33</v>
      </c>
      <c r="I292" s="6">
        <v>30</v>
      </c>
    </row>
    <row r="293" spans="1:9" x14ac:dyDescent="0.35">
      <c r="A293" s="2">
        <v>272759</v>
      </c>
      <c r="B293" s="3" t="s">
        <v>311</v>
      </c>
      <c r="C293" s="2" t="s">
        <v>6</v>
      </c>
      <c r="D293" s="4" t="s">
        <v>39</v>
      </c>
      <c r="E293" s="5" t="s">
        <v>40</v>
      </c>
      <c r="F293" s="6">
        <f>SUMIF('MS SAP Dump'!$F$2:$F$603,$A293,'MS SAP Dump'!$D$2:$D$603)</f>
        <v>35</v>
      </c>
      <c r="G293" s="6">
        <v>39</v>
      </c>
      <c r="H293" s="6">
        <f>SUMIF('HSD SAP Dump'!$F$2:$F$602,$A293,'HSD SAP Dump'!$D$2:$D$602)</f>
        <v>41</v>
      </c>
      <c r="I293" s="6">
        <v>39</v>
      </c>
    </row>
    <row r="294" spans="1:9" x14ac:dyDescent="0.35">
      <c r="A294" s="2">
        <v>272815</v>
      </c>
      <c r="B294" s="3" t="s">
        <v>312</v>
      </c>
      <c r="C294" s="2" t="s">
        <v>6</v>
      </c>
      <c r="D294" s="4" t="s">
        <v>39</v>
      </c>
      <c r="E294" s="5" t="s">
        <v>40</v>
      </c>
      <c r="F294" s="6">
        <f>SUMIF('MS SAP Dump'!$F$2:$F$603,$A294,'MS SAP Dump'!$D$2:$D$603)</f>
        <v>12</v>
      </c>
      <c r="G294" s="6">
        <v>57</v>
      </c>
      <c r="H294" s="6">
        <f>SUMIF('HSD SAP Dump'!$F$2:$F$602,$A294,'HSD SAP Dump'!$D$2:$D$602)</f>
        <v>36</v>
      </c>
      <c r="I294" s="6">
        <v>57</v>
      </c>
    </row>
    <row r="295" spans="1:9" x14ac:dyDescent="0.35">
      <c r="A295" s="2">
        <v>272823</v>
      </c>
      <c r="B295" s="3" t="s">
        <v>313</v>
      </c>
      <c r="C295" s="2" t="s">
        <v>6</v>
      </c>
      <c r="D295" s="4" t="s">
        <v>14</v>
      </c>
      <c r="E295" s="5" t="s">
        <v>8</v>
      </c>
      <c r="F295" s="6">
        <f>SUMIF('MS SAP Dump'!$F$2:$F$603,$A295,'MS SAP Dump'!$D$2:$D$603)</f>
        <v>28</v>
      </c>
      <c r="G295" s="6">
        <v>112</v>
      </c>
      <c r="H295" s="6">
        <f>SUMIF('HSD SAP Dump'!$F$2:$F$602,$A295,'HSD SAP Dump'!$D$2:$D$602)</f>
        <v>336</v>
      </c>
      <c r="I295" s="6">
        <v>112</v>
      </c>
    </row>
    <row r="296" spans="1:9" x14ac:dyDescent="0.35">
      <c r="A296" s="2">
        <v>272876</v>
      </c>
      <c r="B296" s="3" t="s">
        <v>314</v>
      </c>
      <c r="C296" s="2" t="s">
        <v>6</v>
      </c>
      <c r="D296" s="4" t="s">
        <v>7</v>
      </c>
      <c r="E296" s="5" t="s">
        <v>8</v>
      </c>
      <c r="F296" s="6">
        <f>SUMIF('MS SAP Dump'!$F$2:$F$603,$A296,'MS SAP Dump'!$D$2:$D$603)</f>
        <v>24</v>
      </c>
      <c r="G296" s="6">
        <v>37</v>
      </c>
      <c r="H296" s="6">
        <f>SUMIF('HSD SAP Dump'!$F$2:$F$602,$A296,'HSD SAP Dump'!$D$2:$D$602)</f>
        <v>116</v>
      </c>
      <c r="I296" s="6">
        <v>37</v>
      </c>
    </row>
    <row r="297" spans="1:9" x14ac:dyDescent="0.35">
      <c r="A297" s="2">
        <v>272878</v>
      </c>
      <c r="B297" s="3" t="s">
        <v>315</v>
      </c>
      <c r="C297" s="2" t="s">
        <v>6</v>
      </c>
      <c r="D297" s="4" t="s">
        <v>10</v>
      </c>
      <c r="E297" s="5" t="s">
        <v>8</v>
      </c>
      <c r="F297" s="6">
        <f>SUMIF('MS SAP Dump'!$F$2:$F$603,$A297,'MS SAP Dump'!$D$2:$D$603)</f>
        <v>33</v>
      </c>
      <c r="G297" s="6">
        <v>48</v>
      </c>
      <c r="H297" s="6">
        <f>SUMIF('HSD SAP Dump'!$F$2:$F$602,$A297,'HSD SAP Dump'!$D$2:$D$602)</f>
        <v>63</v>
      </c>
      <c r="I297" s="6">
        <v>48</v>
      </c>
    </row>
    <row r="298" spans="1:9" x14ac:dyDescent="0.35">
      <c r="A298" s="2">
        <v>273082</v>
      </c>
      <c r="B298" s="3" t="s">
        <v>316</v>
      </c>
      <c r="C298" s="2" t="s">
        <v>6</v>
      </c>
      <c r="D298" s="4" t="s">
        <v>12</v>
      </c>
      <c r="E298" s="5" t="s">
        <v>8</v>
      </c>
      <c r="F298" s="6">
        <f>SUMIF('MS SAP Dump'!$F$2:$F$603,$A298,'MS SAP Dump'!$D$2:$D$603)</f>
        <v>30</v>
      </c>
      <c r="G298" s="6">
        <v>163</v>
      </c>
      <c r="H298" s="6">
        <f>SUMIF('HSD SAP Dump'!$F$2:$F$602,$A298,'HSD SAP Dump'!$D$2:$D$602)</f>
        <v>194</v>
      </c>
      <c r="I298" s="6">
        <v>163</v>
      </c>
    </row>
    <row r="299" spans="1:9" x14ac:dyDescent="0.35">
      <c r="A299" s="2">
        <v>273370</v>
      </c>
      <c r="B299" s="3" t="s">
        <v>317</v>
      </c>
      <c r="C299" s="2" t="s">
        <v>6</v>
      </c>
      <c r="D299" s="4" t="s">
        <v>10</v>
      </c>
      <c r="E299" s="5" t="s">
        <v>8</v>
      </c>
      <c r="F299" s="6">
        <f>SUMIF('MS SAP Dump'!$F$2:$F$603,$A299,'MS SAP Dump'!$D$2:$D$603)</f>
        <v>6.5</v>
      </c>
      <c r="G299" s="6">
        <v>17</v>
      </c>
      <c r="H299" s="6">
        <f>SUMIF('HSD SAP Dump'!$F$2:$F$602,$A299,'HSD SAP Dump'!$D$2:$D$602)</f>
        <v>19.5</v>
      </c>
      <c r="I299" s="6">
        <v>17</v>
      </c>
    </row>
    <row r="300" spans="1:9" x14ac:dyDescent="0.35">
      <c r="A300" s="2">
        <v>273395</v>
      </c>
      <c r="B300" s="3" t="s">
        <v>318</v>
      </c>
      <c r="C300" s="2" t="s">
        <v>6</v>
      </c>
      <c r="D300" s="4" t="s">
        <v>44</v>
      </c>
      <c r="E300" s="5" t="s">
        <v>40</v>
      </c>
      <c r="F300" s="6">
        <f>SUMIF('MS SAP Dump'!$F$2:$F$603,$A300,'MS SAP Dump'!$D$2:$D$603)</f>
        <v>0</v>
      </c>
      <c r="G300" s="6">
        <v>0</v>
      </c>
      <c r="H300" s="6">
        <f>SUMIF('HSD SAP Dump'!$F$2:$F$602,$A300,'HSD SAP Dump'!$D$2:$D$602)</f>
        <v>0</v>
      </c>
      <c r="I300" s="6">
        <v>0</v>
      </c>
    </row>
    <row r="301" spans="1:9" x14ac:dyDescent="0.35">
      <c r="A301" s="2">
        <v>273418</v>
      </c>
      <c r="B301" s="3" t="s">
        <v>319</v>
      </c>
      <c r="C301" s="2" t="s">
        <v>6</v>
      </c>
      <c r="D301" s="4" t="s">
        <v>14</v>
      </c>
      <c r="E301" s="5" t="s">
        <v>8</v>
      </c>
      <c r="F301" s="6">
        <f>SUMIF('MS SAP Dump'!$F$2:$F$603,$A301,'MS SAP Dump'!$D$2:$D$603)</f>
        <v>39</v>
      </c>
      <c r="G301" s="6">
        <v>54</v>
      </c>
      <c r="H301" s="6">
        <f>SUMIF('HSD SAP Dump'!$F$2:$F$602,$A301,'HSD SAP Dump'!$D$2:$D$602)</f>
        <v>93</v>
      </c>
      <c r="I301" s="6">
        <v>54</v>
      </c>
    </row>
    <row r="302" spans="1:9" x14ac:dyDescent="0.35">
      <c r="A302" s="2">
        <v>273554</v>
      </c>
      <c r="B302" s="3" t="s">
        <v>320</v>
      </c>
      <c r="C302" s="2" t="s">
        <v>6</v>
      </c>
      <c r="D302" s="4" t="s">
        <v>12</v>
      </c>
      <c r="E302" s="5" t="s">
        <v>8</v>
      </c>
      <c r="F302" s="6">
        <f>SUMIF('MS SAP Dump'!$F$2:$F$603,$A302,'MS SAP Dump'!$D$2:$D$603)</f>
        <v>156</v>
      </c>
      <c r="G302" s="6">
        <v>243</v>
      </c>
      <c r="H302" s="6">
        <f>SUMIF('HSD SAP Dump'!$F$2:$F$602,$A302,'HSD SAP Dump'!$D$2:$D$602)</f>
        <v>440</v>
      </c>
      <c r="I302" s="6">
        <v>243</v>
      </c>
    </row>
    <row r="303" spans="1:9" x14ac:dyDescent="0.35">
      <c r="A303" s="2">
        <v>273826</v>
      </c>
      <c r="B303" s="3" t="s">
        <v>321</v>
      </c>
      <c r="C303" s="2" t="s">
        <v>6</v>
      </c>
      <c r="D303" s="4" t="s">
        <v>7</v>
      </c>
      <c r="E303" s="5" t="s">
        <v>8</v>
      </c>
      <c r="F303" s="6">
        <f>SUMIF('MS SAP Dump'!$F$2:$F$603,$A303,'MS SAP Dump'!$D$2:$D$603)</f>
        <v>54</v>
      </c>
      <c r="G303" s="6">
        <v>61</v>
      </c>
      <c r="H303" s="6">
        <f>SUMIF('HSD SAP Dump'!$F$2:$F$602,$A303,'HSD SAP Dump'!$D$2:$D$602)</f>
        <v>50</v>
      </c>
      <c r="I303" s="6">
        <v>61</v>
      </c>
    </row>
    <row r="304" spans="1:9" x14ac:dyDescent="0.35">
      <c r="A304" s="2">
        <v>273926</v>
      </c>
      <c r="B304" s="3" t="s">
        <v>322</v>
      </c>
      <c r="C304" s="2" t="s">
        <v>6</v>
      </c>
      <c r="D304" s="4" t="s">
        <v>26</v>
      </c>
      <c r="E304" s="5" t="s">
        <v>17</v>
      </c>
      <c r="F304" s="6">
        <f>SUMIF('MS SAP Dump'!$F$2:$F$603,$A304,'MS SAP Dump'!$D$2:$D$603)</f>
        <v>66</v>
      </c>
      <c r="G304" s="6">
        <v>80</v>
      </c>
      <c r="H304" s="6">
        <f>SUMIF('HSD SAP Dump'!$F$2:$F$602,$A304,'HSD SAP Dump'!$D$2:$D$602)</f>
        <v>136</v>
      </c>
      <c r="I304" s="6">
        <v>80</v>
      </c>
    </row>
    <row r="305" spans="1:9" x14ac:dyDescent="0.35">
      <c r="A305" s="2">
        <v>377124</v>
      </c>
      <c r="B305" s="3" t="s">
        <v>323</v>
      </c>
      <c r="C305" s="2" t="s">
        <v>6</v>
      </c>
      <c r="D305" s="4" t="s">
        <v>16</v>
      </c>
      <c r="E305" s="5" t="s">
        <v>17</v>
      </c>
      <c r="F305" s="6">
        <f>SUMIF('MS SAP Dump'!$F$2:$F$603,$A305,'MS SAP Dump'!$D$2:$D$603)</f>
        <v>0</v>
      </c>
      <c r="G305" s="6">
        <v>55</v>
      </c>
      <c r="H305" s="6">
        <f>SUMIF('HSD SAP Dump'!$F$2:$F$602,$A305,'HSD SAP Dump'!$D$2:$D$602)</f>
        <v>0</v>
      </c>
      <c r="I305" s="6">
        <v>55</v>
      </c>
    </row>
    <row r="306" spans="1:9" x14ac:dyDescent="0.35">
      <c r="A306" s="2">
        <v>274012</v>
      </c>
      <c r="B306" s="3" t="s">
        <v>324</v>
      </c>
      <c r="C306" s="2" t="s">
        <v>6</v>
      </c>
      <c r="D306" s="4" t="s">
        <v>14</v>
      </c>
      <c r="E306" s="5" t="s">
        <v>8</v>
      </c>
      <c r="F306" s="6">
        <f>SUMIF('MS SAP Dump'!$F$2:$F$603,$A306,'MS SAP Dump'!$D$2:$D$603)</f>
        <v>24</v>
      </c>
      <c r="G306" s="6">
        <v>9</v>
      </c>
      <c r="H306" s="6">
        <f>SUMIF('HSD SAP Dump'!$F$2:$F$602,$A306,'HSD SAP Dump'!$D$2:$D$602)</f>
        <v>52</v>
      </c>
      <c r="I306" s="6">
        <v>9</v>
      </c>
    </row>
    <row r="307" spans="1:9" x14ac:dyDescent="0.35">
      <c r="A307" s="2">
        <v>274584</v>
      </c>
      <c r="B307" s="3" t="s">
        <v>325</v>
      </c>
      <c r="C307" s="2" t="s">
        <v>6</v>
      </c>
      <c r="D307" s="4" t="s">
        <v>26</v>
      </c>
      <c r="E307" s="5" t="s">
        <v>17</v>
      </c>
      <c r="F307" s="6">
        <f>SUMIF('MS SAP Dump'!$F$2:$F$603,$A307,'MS SAP Dump'!$D$2:$D$603)</f>
        <v>35</v>
      </c>
      <c r="G307" s="6">
        <v>35</v>
      </c>
      <c r="H307" s="6">
        <f>SUMIF('HSD SAP Dump'!$F$2:$F$602,$A307,'HSD SAP Dump'!$D$2:$D$602)</f>
        <v>35</v>
      </c>
      <c r="I307" s="6">
        <v>35</v>
      </c>
    </row>
    <row r="308" spans="1:9" x14ac:dyDescent="0.35">
      <c r="A308" s="2">
        <v>274636</v>
      </c>
      <c r="B308" s="3" t="s">
        <v>326</v>
      </c>
      <c r="C308" s="2" t="s">
        <v>6</v>
      </c>
      <c r="D308" s="4" t="s">
        <v>19</v>
      </c>
      <c r="E308" s="5" t="s">
        <v>17</v>
      </c>
      <c r="F308" s="6">
        <f>SUMIF('MS SAP Dump'!$F$2:$F$603,$A308,'MS SAP Dump'!$D$2:$D$603)</f>
        <v>12</v>
      </c>
      <c r="G308" s="6">
        <v>80.5</v>
      </c>
      <c r="H308" s="6">
        <f>SUMIF('HSD SAP Dump'!$F$2:$F$602,$A308,'HSD SAP Dump'!$D$2:$D$602)</f>
        <v>60</v>
      </c>
      <c r="I308" s="6">
        <v>80.5</v>
      </c>
    </row>
    <row r="309" spans="1:9" x14ac:dyDescent="0.35">
      <c r="A309" s="2">
        <v>274637</v>
      </c>
      <c r="B309" s="3" t="s">
        <v>327</v>
      </c>
      <c r="C309" s="2" t="s">
        <v>6</v>
      </c>
      <c r="D309" s="4" t="s">
        <v>19</v>
      </c>
      <c r="E309" s="5" t="s">
        <v>17</v>
      </c>
      <c r="F309" s="6">
        <f>SUMIF('MS SAP Dump'!$F$2:$F$603,$A309,'MS SAP Dump'!$D$2:$D$603)</f>
        <v>31.5</v>
      </c>
      <c r="G309" s="6">
        <v>91</v>
      </c>
      <c r="H309" s="6">
        <f>SUMIF('HSD SAP Dump'!$F$2:$F$602,$A309,'HSD SAP Dump'!$D$2:$D$602)</f>
        <v>122.5</v>
      </c>
      <c r="I309" s="6">
        <v>91</v>
      </c>
    </row>
    <row r="310" spans="1:9" x14ac:dyDescent="0.35">
      <c r="A310" s="2">
        <v>275174</v>
      </c>
      <c r="B310" s="3" t="s">
        <v>328</v>
      </c>
      <c r="C310" s="2" t="s">
        <v>6</v>
      </c>
      <c r="D310" s="4" t="s">
        <v>10</v>
      </c>
      <c r="E310" s="5" t="s">
        <v>8</v>
      </c>
      <c r="F310" s="6">
        <f>SUMIF('MS SAP Dump'!$F$2:$F$603,$A310,'MS SAP Dump'!$D$2:$D$603)</f>
        <v>39</v>
      </c>
      <c r="G310" s="6">
        <v>143.5</v>
      </c>
      <c r="H310" s="6">
        <f>SUMIF('HSD SAP Dump'!$F$2:$F$602,$A310,'HSD SAP Dump'!$D$2:$D$602)</f>
        <v>189</v>
      </c>
      <c r="I310" s="6">
        <v>143.5</v>
      </c>
    </row>
    <row r="311" spans="1:9" x14ac:dyDescent="0.35">
      <c r="A311" s="2">
        <v>275203</v>
      </c>
      <c r="B311" s="3" t="s">
        <v>329</v>
      </c>
      <c r="C311" s="2" t="s">
        <v>6</v>
      </c>
      <c r="D311" s="4" t="s">
        <v>12</v>
      </c>
      <c r="E311" s="5" t="s">
        <v>8</v>
      </c>
      <c r="F311" s="6">
        <f>SUMIF('MS SAP Dump'!$F$2:$F$603,$A311,'MS SAP Dump'!$D$2:$D$603)</f>
        <v>0</v>
      </c>
      <c r="G311" s="6">
        <v>0</v>
      </c>
      <c r="H311" s="6">
        <f>SUMIF('HSD SAP Dump'!$F$2:$F$602,$A311,'HSD SAP Dump'!$D$2:$D$602)</f>
        <v>0</v>
      </c>
      <c r="I311" s="6">
        <v>0</v>
      </c>
    </row>
    <row r="312" spans="1:9" x14ac:dyDescent="0.35">
      <c r="A312" s="2">
        <v>386713</v>
      </c>
      <c r="B312" s="3" t="s">
        <v>330</v>
      </c>
      <c r="C312" s="2" t="s">
        <v>6</v>
      </c>
      <c r="D312" s="4" t="s">
        <v>44</v>
      </c>
      <c r="E312" s="5" t="s">
        <v>40</v>
      </c>
      <c r="F312" s="6">
        <f>SUMIF('MS SAP Dump'!$F$2:$F$603,$A312,'MS SAP Dump'!$D$2:$D$603)</f>
        <v>6</v>
      </c>
      <c r="G312" s="6">
        <v>0</v>
      </c>
      <c r="H312" s="6">
        <f>SUMIF('HSD SAP Dump'!$F$2:$F$602,$A312,'HSD SAP Dump'!$D$2:$D$602)</f>
        <v>18</v>
      </c>
      <c r="I312" s="6">
        <v>0</v>
      </c>
    </row>
    <row r="313" spans="1:9" x14ac:dyDescent="0.35">
      <c r="A313" s="2">
        <v>275379</v>
      </c>
      <c r="B313" s="3" t="s">
        <v>331</v>
      </c>
      <c r="C313" s="2" t="s">
        <v>6</v>
      </c>
      <c r="D313" s="4" t="s">
        <v>10</v>
      </c>
      <c r="E313" s="5" t="s">
        <v>8</v>
      </c>
      <c r="F313" s="6">
        <f>SUMIF('MS SAP Dump'!$F$2:$F$603,$A313,'MS SAP Dump'!$D$2:$D$603)</f>
        <v>58.5</v>
      </c>
      <c r="G313" s="6">
        <v>89.5</v>
      </c>
      <c r="H313" s="6">
        <f>SUMIF('HSD SAP Dump'!$F$2:$F$602,$A313,'HSD SAP Dump'!$D$2:$D$602)</f>
        <v>157.5</v>
      </c>
      <c r="I313" s="6">
        <v>89.5</v>
      </c>
    </row>
    <row r="314" spans="1:9" x14ac:dyDescent="0.35">
      <c r="A314" s="2">
        <v>275380</v>
      </c>
      <c r="B314" s="3" t="s">
        <v>332</v>
      </c>
      <c r="C314" s="2" t="s">
        <v>6</v>
      </c>
      <c r="D314" s="4" t="s">
        <v>39</v>
      </c>
      <c r="E314" s="5" t="s">
        <v>40</v>
      </c>
      <c r="F314" s="6">
        <f>SUMIF('MS SAP Dump'!$F$2:$F$603,$A314,'MS SAP Dump'!$D$2:$D$603)</f>
        <v>0</v>
      </c>
      <c r="G314" s="6">
        <v>15.5</v>
      </c>
      <c r="H314" s="6">
        <f>SUMIF('HSD SAP Dump'!$F$2:$F$602,$A314,'HSD SAP Dump'!$D$2:$D$602)</f>
        <v>5</v>
      </c>
      <c r="I314" s="6">
        <v>15.5</v>
      </c>
    </row>
    <row r="315" spans="1:9" x14ac:dyDescent="0.35">
      <c r="A315" s="2">
        <v>275849</v>
      </c>
      <c r="B315" s="3" t="s">
        <v>333</v>
      </c>
      <c r="C315" s="2" t="s">
        <v>6</v>
      </c>
      <c r="D315" s="4" t="s">
        <v>10</v>
      </c>
      <c r="E315" s="5" t="s">
        <v>8</v>
      </c>
      <c r="F315" s="6">
        <f>SUMIF('MS SAP Dump'!$F$2:$F$603,$A315,'MS SAP Dump'!$D$2:$D$603)</f>
        <v>57</v>
      </c>
      <c r="G315" s="6">
        <v>102</v>
      </c>
      <c r="H315" s="6">
        <f>SUMIF('HSD SAP Dump'!$F$2:$F$602,$A315,'HSD SAP Dump'!$D$2:$D$602)</f>
        <v>195</v>
      </c>
      <c r="I315" s="6">
        <v>102</v>
      </c>
    </row>
    <row r="316" spans="1:9" x14ac:dyDescent="0.35">
      <c r="A316" s="2">
        <v>383650</v>
      </c>
      <c r="B316" s="3" t="s">
        <v>334</v>
      </c>
      <c r="C316" s="2" t="s">
        <v>6</v>
      </c>
      <c r="D316" s="4" t="s">
        <v>16</v>
      </c>
      <c r="E316" s="5" t="s">
        <v>17</v>
      </c>
      <c r="F316" s="6">
        <f>SUMIF('MS SAP Dump'!$F$2:$F$603,$A316,'MS SAP Dump'!$D$2:$D$603)</f>
        <v>7</v>
      </c>
      <c r="G316" s="6">
        <v>0</v>
      </c>
      <c r="H316" s="6">
        <f>SUMIF('HSD SAP Dump'!$F$2:$F$602,$A316,'HSD SAP Dump'!$D$2:$D$602)</f>
        <v>63</v>
      </c>
      <c r="I316" s="6">
        <v>0</v>
      </c>
    </row>
    <row r="317" spans="1:9" x14ac:dyDescent="0.35">
      <c r="A317" s="2">
        <v>276583</v>
      </c>
      <c r="B317" s="3" t="s">
        <v>335</v>
      </c>
      <c r="C317" s="2" t="s">
        <v>6</v>
      </c>
      <c r="D317" s="4" t="s">
        <v>39</v>
      </c>
      <c r="E317" s="5" t="s">
        <v>40</v>
      </c>
      <c r="F317" s="6">
        <f>SUMIF('MS SAP Dump'!$F$2:$F$603,$A317,'MS SAP Dump'!$D$2:$D$603)</f>
        <v>54</v>
      </c>
      <c r="G317" s="6">
        <v>140</v>
      </c>
      <c r="H317" s="6">
        <f>SUMIF('HSD SAP Dump'!$F$2:$F$602,$A317,'HSD SAP Dump'!$D$2:$D$602)</f>
        <v>154</v>
      </c>
      <c r="I317" s="6">
        <v>140</v>
      </c>
    </row>
    <row r="318" spans="1:9" x14ac:dyDescent="0.35">
      <c r="A318" s="2">
        <v>276635</v>
      </c>
      <c r="B318" s="3" t="s">
        <v>336</v>
      </c>
      <c r="C318" s="2" t="s">
        <v>6</v>
      </c>
      <c r="D318" s="4" t="s">
        <v>47</v>
      </c>
      <c r="E318" s="5" t="s">
        <v>8</v>
      </c>
      <c r="F318" s="6">
        <f>SUMIF('MS SAP Dump'!$F$2:$F$603,$A318,'MS SAP Dump'!$D$2:$D$603)</f>
        <v>43</v>
      </c>
      <c r="G318" s="6">
        <v>612.5</v>
      </c>
      <c r="H318" s="6">
        <f>SUMIF('HSD SAP Dump'!$F$2:$F$602,$A318,'HSD SAP Dump'!$D$2:$D$602)</f>
        <v>722</v>
      </c>
      <c r="I318" s="6">
        <v>612.5</v>
      </c>
    </row>
    <row r="319" spans="1:9" x14ac:dyDescent="0.35">
      <c r="A319" s="2">
        <v>276665</v>
      </c>
      <c r="B319" s="3" t="s">
        <v>337</v>
      </c>
      <c r="C319" s="2" t="s">
        <v>6</v>
      </c>
      <c r="D319" s="4" t="s">
        <v>39</v>
      </c>
      <c r="E319" s="5" t="s">
        <v>40</v>
      </c>
      <c r="F319" s="6">
        <f>SUMIF('MS SAP Dump'!$F$2:$F$603,$A319,'MS SAP Dump'!$D$2:$D$603)</f>
        <v>42</v>
      </c>
      <c r="G319" s="6">
        <v>84</v>
      </c>
      <c r="H319" s="6">
        <f>SUMIF('HSD SAP Dump'!$F$2:$F$602,$A319,'HSD SAP Dump'!$D$2:$D$602)</f>
        <v>66</v>
      </c>
      <c r="I319" s="6">
        <v>84</v>
      </c>
    </row>
    <row r="320" spans="1:9" x14ac:dyDescent="0.35">
      <c r="A320" s="2">
        <v>276696</v>
      </c>
      <c r="B320" s="3" t="s">
        <v>338</v>
      </c>
      <c r="C320" s="2" t="s">
        <v>6</v>
      </c>
      <c r="D320" s="4" t="s">
        <v>19</v>
      </c>
      <c r="E320" s="5" t="s">
        <v>17</v>
      </c>
      <c r="F320" s="6">
        <f>SUMIF('MS SAP Dump'!$F$2:$F$603,$A320,'MS SAP Dump'!$D$2:$D$603)</f>
        <v>18</v>
      </c>
      <c r="G320" s="6">
        <v>60</v>
      </c>
      <c r="H320" s="6">
        <f>SUMIF('HSD SAP Dump'!$F$2:$F$602,$A320,'HSD SAP Dump'!$D$2:$D$602)</f>
        <v>78</v>
      </c>
      <c r="I320" s="6">
        <v>60</v>
      </c>
    </row>
    <row r="321" spans="1:9" x14ac:dyDescent="0.35">
      <c r="A321" s="2">
        <v>276717</v>
      </c>
      <c r="B321" s="3" t="s">
        <v>339</v>
      </c>
      <c r="C321" s="2" t="s">
        <v>6</v>
      </c>
      <c r="D321" s="4" t="s">
        <v>52</v>
      </c>
      <c r="E321" s="5" t="s">
        <v>8</v>
      </c>
      <c r="F321" s="6">
        <f>SUMIF('MS SAP Dump'!$F$2:$F$603,$A321,'MS SAP Dump'!$D$2:$D$603)</f>
        <v>48</v>
      </c>
      <c r="G321" s="6">
        <v>99</v>
      </c>
      <c r="H321" s="6">
        <f>SUMIF('HSD SAP Dump'!$F$2:$F$602,$A321,'HSD SAP Dump'!$D$2:$D$602)</f>
        <v>96</v>
      </c>
      <c r="I321" s="6">
        <v>99</v>
      </c>
    </row>
    <row r="322" spans="1:9" x14ac:dyDescent="0.35">
      <c r="A322" s="2">
        <v>277396</v>
      </c>
      <c r="B322" s="3" t="s">
        <v>340</v>
      </c>
      <c r="C322" s="2" t="s">
        <v>6</v>
      </c>
      <c r="D322" s="4" t="s">
        <v>7</v>
      </c>
      <c r="E322" s="5" t="s">
        <v>8</v>
      </c>
      <c r="F322" s="6">
        <f>SUMIF('MS SAP Dump'!$F$2:$F$603,$A322,'MS SAP Dump'!$D$2:$D$603)</f>
        <v>27</v>
      </c>
      <c r="G322" s="6">
        <v>81</v>
      </c>
      <c r="H322" s="6">
        <f>SUMIF('HSD SAP Dump'!$F$2:$F$602,$A322,'HSD SAP Dump'!$D$2:$D$602)</f>
        <v>45</v>
      </c>
      <c r="I322" s="6">
        <v>81</v>
      </c>
    </row>
    <row r="323" spans="1:9" x14ac:dyDescent="0.35">
      <c r="A323" s="2">
        <v>277399</v>
      </c>
      <c r="B323" s="3" t="s">
        <v>341</v>
      </c>
      <c r="C323" s="2" t="s">
        <v>6</v>
      </c>
      <c r="D323" s="4" t="s">
        <v>7</v>
      </c>
      <c r="E323" s="5" t="s">
        <v>8</v>
      </c>
      <c r="F323" s="6">
        <f>SUMIF('MS SAP Dump'!$F$2:$F$603,$A323,'MS SAP Dump'!$D$2:$D$603)</f>
        <v>50</v>
      </c>
      <c r="G323" s="6">
        <v>505</v>
      </c>
      <c r="H323" s="6">
        <f>SUMIF('HSD SAP Dump'!$F$2:$F$602,$A323,'HSD SAP Dump'!$D$2:$D$602)</f>
        <v>530</v>
      </c>
      <c r="I323" s="6">
        <v>505</v>
      </c>
    </row>
    <row r="324" spans="1:9" x14ac:dyDescent="0.35">
      <c r="A324" s="2">
        <v>277554</v>
      </c>
      <c r="B324" s="3" t="s">
        <v>342</v>
      </c>
      <c r="C324" s="2" t="s">
        <v>6</v>
      </c>
      <c r="D324" s="4" t="s">
        <v>47</v>
      </c>
      <c r="E324" s="5" t="s">
        <v>8</v>
      </c>
      <c r="F324" s="6">
        <f>SUMIF('MS SAP Dump'!$F$2:$F$603,$A324,'MS SAP Dump'!$D$2:$D$603)</f>
        <v>48</v>
      </c>
      <c r="G324" s="6">
        <v>129</v>
      </c>
      <c r="H324" s="6">
        <f>SUMIF('HSD SAP Dump'!$F$2:$F$602,$A324,'HSD SAP Dump'!$D$2:$D$602)</f>
        <v>96</v>
      </c>
      <c r="I324" s="6">
        <v>129</v>
      </c>
    </row>
    <row r="325" spans="1:9" x14ac:dyDescent="0.35">
      <c r="A325" s="2">
        <v>277559</v>
      </c>
      <c r="B325" s="3" t="s">
        <v>343</v>
      </c>
      <c r="C325" s="2" t="s">
        <v>6</v>
      </c>
      <c r="D325" s="4" t="s">
        <v>14</v>
      </c>
      <c r="E325" s="5" t="s">
        <v>8</v>
      </c>
      <c r="F325" s="6">
        <f>SUMIF('MS SAP Dump'!$F$2:$F$603,$A325,'MS SAP Dump'!$D$2:$D$603)</f>
        <v>95.5</v>
      </c>
      <c r="G325" s="6">
        <v>107</v>
      </c>
      <c r="H325" s="6">
        <f>SUMIF('HSD SAP Dump'!$F$2:$F$602,$A325,'HSD SAP Dump'!$D$2:$D$602)</f>
        <v>276.5</v>
      </c>
      <c r="I325" s="6">
        <v>107</v>
      </c>
    </row>
    <row r="326" spans="1:9" x14ac:dyDescent="0.35">
      <c r="A326" s="2">
        <v>277563</v>
      </c>
      <c r="B326" s="3" t="s">
        <v>344</v>
      </c>
      <c r="C326" s="2" t="s">
        <v>6</v>
      </c>
      <c r="D326" s="4" t="s">
        <v>14</v>
      </c>
      <c r="E326" s="5" t="s">
        <v>8</v>
      </c>
      <c r="F326" s="6">
        <f>SUMIF('MS SAP Dump'!$F$2:$F$603,$A326,'MS SAP Dump'!$D$2:$D$603)</f>
        <v>18</v>
      </c>
      <c r="G326" s="6">
        <v>84</v>
      </c>
      <c r="H326" s="6">
        <f>SUMIF('HSD SAP Dump'!$F$2:$F$602,$A326,'HSD SAP Dump'!$D$2:$D$602)</f>
        <v>126</v>
      </c>
      <c r="I326" s="6">
        <v>84</v>
      </c>
    </row>
    <row r="327" spans="1:9" x14ac:dyDescent="0.35">
      <c r="A327" s="2">
        <v>277568</v>
      </c>
      <c r="B327" s="3" t="s">
        <v>345</v>
      </c>
      <c r="C327" s="2" t="s">
        <v>6</v>
      </c>
      <c r="D327" s="4" t="s">
        <v>44</v>
      </c>
      <c r="E327" s="5" t="s">
        <v>40</v>
      </c>
      <c r="F327" s="6">
        <f>SUMIF('MS SAP Dump'!$F$2:$F$603,$A327,'MS SAP Dump'!$D$2:$D$603)</f>
        <v>57</v>
      </c>
      <c r="G327" s="6">
        <v>57</v>
      </c>
      <c r="H327" s="6">
        <f>SUMIF('HSD SAP Dump'!$F$2:$F$602,$A327,'HSD SAP Dump'!$D$2:$D$602)</f>
        <v>63</v>
      </c>
      <c r="I327" s="6">
        <v>57</v>
      </c>
    </row>
    <row r="328" spans="1:9" x14ac:dyDescent="0.35">
      <c r="A328" s="2">
        <v>277636</v>
      </c>
      <c r="B328" s="3" t="s">
        <v>346</v>
      </c>
      <c r="C328" s="2" t="s">
        <v>6</v>
      </c>
      <c r="D328" s="4" t="s">
        <v>12</v>
      </c>
      <c r="E328" s="5" t="s">
        <v>8</v>
      </c>
      <c r="F328" s="6">
        <f>SUMIF('MS SAP Dump'!$F$2:$F$603,$A328,'MS SAP Dump'!$D$2:$D$603)</f>
        <v>0</v>
      </c>
      <c r="G328" s="6">
        <v>0</v>
      </c>
      <c r="H328" s="6">
        <f>SUMIF('HSD SAP Dump'!$F$2:$F$602,$A328,'HSD SAP Dump'!$D$2:$D$602)</f>
        <v>0</v>
      </c>
      <c r="I328" s="6">
        <v>0</v>
      </c>
    </row>
    <row r="329" spans="1:9" x14ac:dyDescent="0.35">
      <c r="A329" s="2">
        <v>278146</v>
      </c>
      <c r="B329" s="3" t="s">
        <v>347</v>
      </c>
      <c r="C329" s="2" t="s">
        <v>6</v>
      </c>
      <c r="D329" s="4" t="s">
        <v>39</v>
      </c>
      <c r="E329" s="5" t="s">
        <v>40</v>
      </c>
      <c r="F329" s="6">
        <f>SUMIF('MS SAP Dump'!$F$2:$F$603,$A329,'MS SAP Dump'!$D$2:$D$603)</f>
        <v>121</v>
      </c>
      <c r="G329" s="6">
        <v>411</v>
      </c>
      <c r="H329" s="6">
        <f>SUMIF('HSD SAP Dump'!$F$2:$F$602,$A329,'HSD SAP Dump'!$D$2:$D$602)</f>
        <v>383</v>
      </c>
      <c r="I329" s="6">
        <v>411</v>
      </c>
    </row>
    <row r="330" spans="1:9" x14ac:dyDescent="0.35">
      <c r="A330" s="2">
        <v>278147</v>
      </c>
      <c r="B330" s="3" t="s">
        <v>348</v>
      </c>
      <c r="C330" s="2" t="s">
        <v>6</v>
      </c>
      <c r="D330" s="4" t="s">
        <v>44</v>
      </c>
      <c r="E330" s="5" t="s">
        <v>40</v>
      </c>
      <c r="F330" s="6">
        <f>SUMIF('MS SAP Dump'!$F$2:$F$603,$A330,'MS SAP Dump'!$D$2:$D$603)</f>
        <v>15</v>
      </c>
      <c r="G330" s="6">
        <v>33</v>
      </c>
      <c r="H330" s="6">
        <f>SUMIF('HSD SAP Dump'!$F$2:$F$602,$A330,'HSD SAP Dump'!$D$2:$D$602)</f>
        <v>33</v>
      </c>
      <c r="I330" s="6">
        <v>33</v>
      </c>
    </row>
    <row r="331" spans="1:9" x14ac:dyDescent="0.35">
      <c r="A331" s="2">
        <v>278694</v>
      </c>
      <c r="B331" s="3" t="s">
        <v>349</v>
      </c>
      <c r="C331" s="2" t="s">
        <v>6</v>
      </c>
      <c r="D331" s="4" t="s">
        <v>7</v>
      </c>
      <c r="E331" s="5" t="s">
        <v>8</v>
      </c>
      <c r="F331" s="6">
        <f>SUMIF('MS SAP Dump'!$F$2:$F$603,$A331,'MS SAP Dump'!$D$2:$D$603)</f>
        <v>9</v>
      </c>
      <c r="G331" s="6">
        <v>24</v>
      </c>
      <c r="H331" s="6">
        <f>SUMIF('HSD SAP Dump'!$F$2:$F$602,$A331,'HSD SAP Dump'!$D$2:$D$602)</f>
        <v>15</v>
      </c>
      <c r="I331" s="6">
        <v>24</v>
      </c>
    </row>
    <row r="332" spans="1:9" x14ac:dyDescent="0.35">
      <c r="A332" s="2">
        <v>278696</v>
      </c>
      <c r="B332" s="3" t="s">
        <v>350</v>
      </c>
      <c r="C332" s="2" t="s">
        <v>6</v>
      </c>
      <c r="D332" s="4" t="s">
        <v>26</v>
      </c>
      <c r="E332" s="5" t="s">
        <v>17</v>
      </c>
      <c r="F332" s="6">
        <f>SUMIF('MS SAP Dump'!$F$2:$F$603,$A332,'MS SAP Dump'!$D$2:$D$603)</f>
        <v>14</v>
      </c>
      <c r="G332" s="6">
        <v>54</v>
      </c>
      <c r="H332" s="6">
        <f>SUMIF('HSD SAP Dump'!$F$2:$F$602,$A332,'HSD SAP Dump'!$D$2:$D$602)</f>
        <v>48</v>
      </c>
      <c r="I332" s="6">
        <v>54</v>
      </c>
    </row>
    <row r="333" spans="1:9" x14ac:dyDescent="0.35">
      <c r="A333" s="2">
        <v>279185</v>
      </c>
      <c r="B333" s="3" t="s">
        <v>351</v>
      </c>
      <c r="C333" s="2" t="s">
        <v>6</v>
      </c>
      <c r="D333" s="4" t="s">
        <v>7</v>
      </c>
      <c r="E333" s="5" t="s">
        <v>8</v>
      </c>
      <c r="F333" s="6">
        <f>SUMIF('MS SAP Dump'!$F$2:$F$603,$A333,'MS SAP Dump'!$D$2:$D$603)</f>
        <v>36</v>
      </c>
      <c r="G333" s="6">
        <v>75</v>
      </c>
      <c r="H333" s="6">
        <f>SUMIF('HSD SAP Dump'!$F$2:$F$602,$A333,'HSD SAP Dump'!$D$2:$D$602)</f>
        <v>108</v>
      </c>
      <c r="I333" s="6">
        <v>75</v>
      </c>
    </row>
    <row r="334" spans="1:9" x14ac:dyDescent="0.35">
      <c r="A334" s="2">
        <v>279738</v>
      </c>
      <c r="B334" s="3" t="s">
        <v>352</v>
      </c>
      <c r="C334" s="2" t="s">
        <v>6</v>
      </c>
      <c r="D334" s="4" t="s">
        <v>26</v>
      </c>
      <c r="E334" s="5" t="s">
        <v>17</v>
      </c>
      <c r="F334" s="6">
        <f>SUMIF('MS SAP Dump'!$F$2:$F$603,$A334,'MS SAP Dump'!$D$2:$D$603)</f>
        <v>21</v>
      </c>
      <c r="G334" s="6">
        <v>0</v>
      </c>
      <c r="H334" s="6">
        <f>SUMIF('HSD SAP Dump'!$F$2:$F$602,$A334,'HSD SAP Dump'!$D$2:$D$602)</f>
        <v>49</v>
      </c>
      <c r="I334" s="6">
        <v>0</v>
      </c>
    </row>
    <row r="335" spans="1:9" x14ac:dyDescent="0.35">
      <c r="A335" s="2">
        <v>280151</v>
      </c>
      <c r="B335" s="3" t="s">
        <v>353</v>
      </c>
      <c r="C335" s="2" t="s">
        <v>6</v>
      </c>
      <c r="D335" s="4" t="s">
        <v>47</v>
      </c>
      <c r="E335" s="5" t="s">
        <v>8</v>
      </c>
      <c r="F335" s="6">
        <f>SUMIF('MS SAP Dump'!$F$2:$F$603,$A335,'MS SAP Dump'!$D$2:$D$603)</f>
        <v>31</v>
      </c>
      <c r="G335" s="6">
        <v>131</v>
      </c>
      <c r="H335" s="6">
        <f>SUMIF('HSD SAP Dump'!$F$2:$F$602,$A335,'HSD SAP Dump'!$D$2:$D$602)</f>
        <v>163</v>
      </c>
      <c r="I335" s="6">
        <v>131</v>
      </c>
    </row>
    <row r="336" spans="1:9" x14ac:dyDescent="0.35">
      <c r="A336" s="2">
        <v>280302</v>
      </c>
      <c r="B336" s="3" t="s">
        <v>354</v>
      </c>
      <c r="C336" s="2" t="s">
        <v>6</v>
      </c>
      <c r="D336" s="4" t="s">
        <v>47</v>
      </c>
      <c r="E336" s="5" t="s">
        <v>8</v>
      </c>
      <c r="F336" s="6">
        <f>SUMIF('MS SAP Dump'!$F$2:$F$603,$A336,'MS SAP Dump'!$D$2:$D$603)</f>
        <v>3</v>
      </c>
      <c r="G336" s="6">
        <v>30</v>
      </c>
      <c r="H336" s="6">
        <f>SUMIF('HSD SAP Dump'!$F$2:$F$602,$A336,'HSD SAP Dump'!$D$2:$D$602)</f>
        <v>9</v>
      </c>
      <c r="I336" s="6">
        <v>30</v>
      </c>
    </row>
    <row r="337" spans="1:9" x14ac:dyDescent="0.35">
      <c r="A337" s="2">
        <v>280303</v>
      </c>
      <c r="B337" s="3" t="s">
        <v>355</v>
      </c>
      <c r="C337" s="2" t="s">
        <v>6</v>
      </c>
      <c r="D337" s="4" t="s">
        <v>7</v>
      </c>
      <c r="E337" s="5" t="s">
        <v>8</v>
      </c>
      <c r="F337" s="6">
        <f>SUMIF('MS SAP Dump'!$F$2:$F$603,$A337,'MS SAP Dump'!$D$2:$D$603)</f>
        <v>33</v>
      </c>
      <c r="G337" s="6">
        <v>55</v>
      </c>
      <c r="H337" s="6">
        <f>SUMIF('HSD SAP Dump'!$F$2:$F$602,$A337,'HSD SAP Dump'!$D$2:$D$602)</f>
        <v>63</v>
      </c>
      <c r="I337" s="6">
        <v>55</v>
      </c>
    </row>
    <row r="338" spans="1:9" x14ac:dyDescent="0.35">
      <c r="A338" s="2">
        <v>280306</v>
      </c>
      <c r="B338" s="3" t="s">
        <v>356</v>
      </c>
      <c r="C338" s="2" t="s">
        <v>6</v>
      </c>
      <c r="D338" s="4" t="s">
        <v>44</v>
      </c>
      <c r="E338" s="5" t="s">
        <v>40</v>
      </c>
      <c r="F338" s="6">
        <f>SUMIF('MS SAP Dump'!$F$2:$F$603,$A338,'MS SAP Dump'!$D$2:$D$603)</f>
        <v>32</v>
      </c>
      <c r="G338" s="6">
        <v>99</v>
      </c>
      <c r="H338" s="6">
        <f>SUMIF('HSD SAP Dump'!$F$2:$F$602,$A338,'HSD SAP Dump'!$D$2:$D$602)</f>
        <v>184</v>
      </c>
      <c r="I338" s="6">
        <v>99</v>
      </c>
    </row>
    <row r="339" spans="1:9" x14ac:dyDescent="0.35">
      <c r="A339" s="2">
        <v>280994</v>
      </c>
      <c r="B339" s="3" t="s">
        <v>357</v>
      </c>
      <c r="C339" s="2" t="s">
        <v>6</v>
      </c>
      <c r="D339" s="4" t="s">
        <v>26</v>
      </c>
      <c r="E339" s="5" t="s">
        <v>17</v>
      </c>
      <c r="F339" s="6">
        <f>SUMIF('MS SAP Dump'!$F$2:$F$603,$A339,'MS SAP Dump'!$D$2:$D$603)</f>
        <v>9</v>
      </c>
      <c r="G339" s="6">
        <v>84</v>
      </c>
      <c r="H339" s="6">
        <f>SUMIF('HSD SAP Dump'!$F$2:$F$602,$A339,'HSD SAP Dump'!$D$2:$D$602)</f>
        <v>87</v>
      </c>
      <c r="I339" s="6">
        <v>84</v>
      </c>
    </row>
    <row r="340" spans="1:9" x14ac:dyDescent="0.35">
      <c r="A340" s="2">
        <v>281539</v>
      </c>
      <c r="B340" s="3" t="s">
        <v>358</v>
      </c>
      <c r="C340" s="2" t="s">
        <v>6</v>
      </c>
      <c r="D340" s="4" t="s">
        <v>44</v>
      </c>
      <c r="E340" s="5" t="s">
        <v>40</v>
      </c>
      <c r="F340" s="6">
        <f>SUMIF('MS SAP Dump'!$F$2:$F$603,$A340,'MS SAP Dump'!$D$2:$D$603)</f>
        <v>63</v>
      </c>
      <c r="G340" s="6">
        <v>48</v>
      </c>
      <c r="H340" s="6">
        <f>SUMIF('HSD SAP Dump'!$F$2:$F$602,$A340,'HSD SAP Dump'!$D$2:$D$602)</f>
        <v>69</v>
      </c>
      <c r="I340" s="6">
        <v>48</v>
      </c>
    </row>
    <row r="341" spans="1:9" x14ac:dyDescent="0.35">
      <c r="A341" s="2">
        <v>282170</v>
      </c>
      <c r="B341" s="3" t="s">
        <v>359</v>
      </c>
      <c r="C341" s="2" t="s">
        <v>6</v>
      </c>
      <c r="D341" s="4" t="s">
        <v>39</v>
      </c>
      <c r="E341" s="5" t="s">
        <v>40</v>
      </c>
      <c r="F341" s="6">
        <f>SUMIF('MS SAP Dump'!$F$2:$F$603,$A341,'MS SAP Dump'!$D$2:$D$603)</f>
        <v>90</v>
      </c>
      <c r="G341" s="6">
        <v>66</v>
      </c>
      <c r="H341" s="6">
        <f>SUMIF('HSD SAP Dump'!$F$2:$F$602,$A341,'HSD SAP Dump'!$D$2:$D$602)</f>
        <v>78</v>
      </c>
      <c r="I341" s="6">
        <v>66</v>
      </c>
    </row>
    <row r="342" spans="1:9" x14ac:dyDescent="0.35">
      <c r="A342" s="2">
        <v>282740</v>
      </c>
      <c r="B342" s="3" t="s">
        <v>360</v>
      </c>
      <c r="C342" s="2" t="s">
        <v>6</v>
      </c>
      <c r="D342" s="4" t="s">
        <v>7</v>
      </c>
      <c r="E342" s="5" t="s">
        <v>8</v>
      </c>
      <c r="F342" s="6">
        <f>SUMIF('MS SAP Dump'!$F$2:$F$603,$A342,'MS SAP Dump'!$D$2:$D$603)</f>
        <v>23</v>
      </c>
      <c r="G342" s="6">
        <v>48.5</v>
      </c>
      <c r="H342" s="6">
        <f>SUMIF('HSD SAP Dump'!$F$2:$F$602,$A342,'HSD SAP Dump'!$D$2:$D$602)</f>
        <v>105</v>
      </c>
      <c r="I342" s="6">
        <v>48.5</v>
      </c>
    </row>
    <row r="343" spans="1:9" x14ac:dyDescent="0.35">
      <c r="A343" s="2">
        <v>282747</v>
      </c>
      <c r="B343" s="3" t="s">
        <v>361</v>
      </c>
      <c r="C343" s="2" t="s">
        <v>6</v>
      </c>
      <c r="D343" s="4" t="s">
        <v>7</v>
      </c>
      <c r="E343" s="5" t="s">
        <v>8</v>
      </c>
      <c r="F343" s="6">
        <f>SUMIF('MS SAP Dump'!$F$2:$F$603,$A343,'MS SAP Dump'!$D$2:$D$603)</f>
        <v>45</v>
      </c>
      <c r="G343" s="6">
        <v>61.5</v>
      </c>
      <c r="H343" s="6">
        <f>SUMIF('HSD SAP Dump'!$F$2:$F$602,$A343,'HSD SAP Dump'!$D$2:$D$602)</f>
        <v>71</v>
      </c>
      <c r="I343" s="6">
        <v>61.5</v>
      </c>
    </row>
    <row r="344" spans="1:9" x14ac:dyDescent="0.35">
      <c r="A344" s="2">
        <v>282762</v>
      </c>
      <c r="B344" s="3" t="s">
        <v>362</v>
      </c>
      <c r="C344" s="2" t="s">
        <v>6</v>
      </c>
      <c r="D344" s="4" t="s">
        <v>44</v>
      </c>
      <c r="E344" s="5" t="s">
        <v>40</v>
      </c>
      <c r="F344" s="6">
        <f>SUMIF('MS SAP Dump'!$F$2:$F$603,$A344,'MS SAP Dump'!$D$2:$D$603)</f>
        <v>14.5</v>
      </c>
      <c r="G344" s="6">
        <v>0</v>
      </c>
      <c r="H344" s="6">
        <f>SUMIF('HSD SAP Dump'!$F$2:$F$602,$A344,'HSD SAP Dump'!$D$2:$D$602)</f>
        <v>67.5</v>
      </c>
      <c r="I344" s="6">
        <v>0</v>
      </c>
    </row>
    <row r="345" spans="1:9" x14ac:dyDescent="0.35">
      <c r="A345" s="2">
        <v>282776</v>
      </c>
      <c r="B345" s="3" t="s">
        <v>363</v>
      </c>
      <c r="C345" s="2" t="s">
        <v>6</v>
      </c>
      <c r="D345" s="4" t="s">
        <v>52</v>
      </c>
      <c r="E345" s="5" t="s">
        <v>8</v>
      </c>
      <c r="F345" s="6">
        <f>SUMIF('MS SAP Dump'!$F$2:$F$603,$A345,'MS SAP Dump'!$D$2:$D$603)</f>
        <v>46</v>
      </c>
      <c r="G345" s="6">
        <v>174</v>
      </c>
      <c r="H345" s="6">
        <f>SUMIF('HSD SAP Dump'!$F$2:$F$602,$A345,'HSD SAP Dump'!$D$2:$D$602)</f>
        <v>224</v>
      </c>
      <c r="I345" s="6">
        <v>174</v>
      </c>
    </row>
    <row r="346" spans="1:9" x14ac:dyDescent="0.35">
      <c r="A346" s="2">
        <v>282784</v>
      </c>
      <c r="B346" s="3" t="s">
        <v>364</v>
      </c>
      <c r="C346" s="2" t="s">
        <v>6</v>
      </c>
      <c r="D346" s="4" t="s">
        <v>12</v>
      </c>
      <c r="E346" s="5" t="s">
        <v>8</v>
      </c>
      <c r="F346" s="6">
        <f>SUMIF('MS SAP Dump'!$F$2:$F$603,$A346,'MS SAP Dump'!$D$2:$D$603)</f>
        <v>0</v>
      </c>
      <c r="G346" s="6">
        <v>0</v>
      </c>
      <c r="H346" s="6">
        <f>SUMIF('HSD SAP Dump'!$F$2:$F$602,$A346,'HSD SAP Dump'!$D$2:$D$602)</f>
        <v>0</v>
      </c>
      <c r="I346" s="6">
        <v>0</v>
      </c>
    </row>
    <row r="347" spans="1:9" x14ac:dyDescent="0.35">
      <c r="A347" s="2">
        <v>283241</v>
      </c>
      <c r="B347" s="3" t="s">
        <v>365</v>
      </c>
      <c r="C347" s="2" t="s">
        <v>6</v>
      </c>
      <c r="D347" s="4" t="s">
        <v>19</v>
      </c>
      <c r="E347" s="5" t="s">
        <v>17</v>
      </c>
      <c r="F347" s="6">
        <f>SUMIF('MS SAP Dump'!$F$2:$F$603,$A347,'MS SAP Dump'!$D$2:$D$603)</f>
        <v>28</v>
      </c>
      <c r="G347" s="6">
        <v>175</v>
      </c>
      <c r="H347" s="6">
        <f>SUMIF('HSD SAP Dump'!$F$2:$F$602,$A347,'HSD SAP Dump'!$D$2:$D$602)</f>
        <v>210</v>
      </c>
      <c r="I347" s="6">
        <v>175</v>
      </c>
    </row>
    <row r="348" spans="1:9" x14ac:dyDescent="0.35">
      <c r="A348" s="2">
        <v>283332</v>
      </c>
      <c r="B348" s="3" t="s">
        <v>366</v>
      </c>
      <c r="C348" s="2" t="s">
        <v>6</v>
      </c>
      <c r="D348" s="4" t="s">
        <v>14</v>
      </c>
      <c r="E348" s="5" t="s">
        <v>8</v>
      </c>
      <c r="F348" s="6">
        <f>SUMIF('MS SAP Dump'!$F$2:$F$603,$A348,'MS SAP Dump'!$D$2:$D$603)</f>
        <v>3</v>
      </c>
      <c r="G348" s="6">
        <v>0</v>
      </c>
      <c r="H348" s="6">
        <f>SUMIF('HSD SAP Dump'!$F$2:$F$602,$A348,'HSD SAP Dump'!$D$2:$D$602)</f>
        <v>21</v>
      </c>
      <c r="I348" s="6">
        <v>0</v>
      </c>
    </row>
    <row r="349" spans="1:9" x14ac:dyDescent="0.35">
      <c r="A349" s="2">
        <v>283735</v>
      </c>
      <c r="B349" s="3" t="s">
        <v>367</v>
      </c>
      <c r="C349" s="2" t="s">
        <v>6</v>
      </c>
      <c r="D349" s="4" t="s">
        <v>26</v>
      </c>
      <c r="E349" s="5" t="s">
        <v>17</v>
      </c>
      <c r="F349" s="6">
        <f>SUMIF('MS SAP Dump'!$F$2:$F$603,$A349,'MS SAP Dump'!$D$2:$D$603)</f>
        <v>12</v>
      </c>
      <c r="G349" s="6">
        <v>26</v>
      </c>
      <c r="H349" s="6">
        <f>SUMIF('HSD SAP Dump'!$F$2:$F$602,$A349,'HSD SAP Dump'!$D$2:$D$602)</f>
        <v>24</v>
      </c>
      <c r="I349" s="6">
        <v>26</v>
      </c>
    </row>
    <row r="350" spans="1:9" x14ac:dyDescent="0.35">
      <c r="A350" s="2">
        <v>283999</v>
      </c>
      <c r="B350" s="3" t="s">
        <v>368</v>
      </c>
      <c r="C350" s="2" t="s">
        <v>6</v>
      </c>
      <c r="D350" s="4" t="s">
        <v>52</v>
      </c>
      <c r="E350" s="5" t="s">
        <v>8</v>
      </c>
      <c r="F350" s="6">
        <f>SUMIF('MS SAP Dump'!$F$2:$F$603,$A350,'MS SAP Dump'!$D$2:$D$603)</f>
        <v>50</v>
      </c>
      <c r="G350" s="6">
        <v>395</v>
      </c>
      <c r="H350" s="6">
        <f>SUMIF('HSD SAP Dump'!$F$2:$F$602,$A350,'HSD SAP Dump'!$D$2:$D$602)</f>
        <v>430</v>
      </c>
      <c r="I350" s="6">
        <v>395</v>
      </c>
    </row>
    <row r="351" spans="1:9" x14ac:dyDescent="0.35">
      <c r="A351" s="2">
        <v>284034</v>
      </c>
      <c r="B351" s="3" t="s">
        <v>369</v>
      </c>
      <c r="C351" s="2" t="s">
        <v>6</v>
      </c>
      <c r="D351" s="4" t="s">
        <v>39</v>
      </c>
      <c r="E351" s="5" t="s">
        <v>40</v>
      </c>
      <c r="F351" s="6">
        <f>SUMIF('MS SAP Dump'!$F$2:$F$603,$A351,'MS SAP Dump'!$D$2:$D$603)</f>
        <v>31.5</v>
      </c>
      <c r="G351" s="6">
        <v>101.5</v>
      </c>
      <c r="H351" s="6">
        <f>SUMIF('HSD SAP Dump'!$F$2:$F$602,$A351,'HSD SAP Dump'!$D$2:$D$602)</f>
        <v>66.5</v>
      </c>
      <c r="I351" s="6">
        <v>101.5</v>
      </c>
    </row>
    <row r="352" spans="1:9" x14ac:dyDescent="0.35">
      <c r="A352" s="2">
        <v>284827</v>
      </c>
      <c r="B352" s="3" t="s">
        <v>370</v>
      </c>
      <c r="C352" s="2" t="s">
        <v>6</v>
      </c>
      <c r="D352" s="4" t="s">
        <v>52</v>
      </c>
      <c r="E352" s="5" t="s">
        <v>8</v>
      </c>
      <c r="F352" s="6">
        <f>SUMIF('MS SAP Dump'!$F$2:$F$603,$A352,'MS SAP Dump'!$D$2:$D$603)</f>
        <v>57</v>
      </c>
      <c r="G352" s="6">
        <v>108</v>
      </c>
      <c r="H352" s="6">
        <f>SUMIF('HSD SAP Dump'!$F$2:$F$602,$A352,'HSD SAP Dump'!$D$2:$D$602)</f>
        <v>123</v>
      </c>
      <c r="I352" s="6">
        <v>108</v>
      </c>
    </row>
    <row r="353" spans="1:9" x14ac:dyDescent="0.35">
      <c r="A353" s="2">
        <v>284991</v>
      </c>
      <c r="B353" s="3" t="s">
        <v>371</v>
      </c>
      <c r="C353" s="2" t="s">
        <v>6</v>
      </c>
      <c r="D353" s="4" t="s">
        <v>47</v>
      </c>
      <c r="E353" s="5" t="s">
        <v>8</v>
      </c>
      <c r="F353" s="6">
        <f>SUMIF('MS SAP Dump'!$F$2:$F$603,$A353,'MS SAP Dump'!$D$2:$D$603)</f>
        <v>15</v>
      </c>
      <c r="G353" s="6">
        <v>60</v>
      </c>
      <c r="H353" s="6">
        <f>SUMIF('HSD SAP Dump'!$F$2:$F$602,$A353,'HSD SAP Dump'!$D$2:$D$602)</f>
        <v>69</v>
      </c>
      <c r="I353" s="6">
        <v>60</v>
      </c>
    </row>
    <row r="354" spans="1:9" x14ac:dyDescent="0.35">
      <c r="A354" s="2">
        <v>285018</v>
      </c>
      <c r="B354" s="3" t="s">
        <v>372</v>
      </c>
      <c r="C354" s="2" t="s">
        <v>6</v>
      </c>
      <c r="D354" s="4" t="s">
        <v>19</v>
      </c>
      <c r="E354" s="5" t="s">
        <v>17</v>
      </c>
      <c r="F354" s="6">
        <f>SUMIF('MS SAP Dump'!$F$2:$F$603,$A354,'MS SAP Dump'!$D$2:$D$603)</f>
        <v>25.5</v>
      </c>
      <c r="G354" s="6">
        <v>47</v>
      </c>
      <c r="H354" s="6">
        <f>SUMIF('HSD SAP Dump'!$F$2:$F$602,$A354,'HSD SAP Dump'!$D$2:$D$602)</f>
        <v>52.5</v>
      </c>
      <c r="I354" s="6">
        <v>47</v>
      </c>
    </row>
    <row r="355" spans="1:9" x14ac:dyDescent="0.35">
      <c r="A355" s="2">
        <v>285030</v>
      </c>
      <c r="B355" s="3" t="s">
        <v>373</v>
      </c>
      <c r="C355" s="2" t="s">
        <v>6</v>
      </c>
      <c r="D355" s="4" t="s">
        <v>19</v>
      </c>
      <c r="E355" s="5" t="s">
        <v>17</v>
      </c>
      <c r="F355" s="6">
        <f>SUMIF('MS SAP Dump'!$F$2:$F$603,$A355,'MS SAP Dump'!$D$2:$D$603)</f>
        <v>19.5</v>
      </c>
      <c r="G355" s="6">
        <v>0</v>
      </c>
      <c r="H355" s="6">
        <f>SUMIF('HSD SAP Dump'!$F$2:$F$602,$A355,'HSD SAP Dump'!$D$2:$D$602)</f>
        <v>56.5</v>
      </c>
      <c r="I355" s="6">
        <v>0</v>
      </c>
    </row>
    <row r="356" spans="1:9" x14ac:dyDescent="0.35">
      <c r="A356" s="2">
        <v>285032</v>
      </c>
      <c r="B356" s="3" t="s">
        <v>374</v>
      </c>
      <c r="C356" s="2" t="s">
        <v>6</v>
      </c>
      <c r="D356" s="4" t="s">
        <v>16</v>
      </c>
      <c r="E356" s="5" t="s">
        <v>17</v>
      </c>
      <c r="F356" s="6">
        <f>SUMIF('MS SAP Dump'!$F$2:$F$603,$A356,'MS SAP Dump'!$D$2:$D$603)</f>
        <v>29</v>
      </c>
      <c r="G356" s="6">
        <v>27</v>
      </c>
      <c r="H356" s="6">
        <f>SUMIF('HSD SAP Dump'!$F$2:$F$602,$A356,'HSD SAP Dump'!$D$2:$D$602)</f>
        <v>55</v>
      </c>
      <c r="I356" s="6">
        <v>27</v>
      </c>
    </row>
    <row r="357" spans="1:9" x14ac:dyDescent="0.35">
      <c r="A357" s="2">
        <v>371055</v>
      </c>
      <c r="B357" s="3" t="s">
        <v>375</v>
      </c>
      <c r="C357" s="2" t="s">
        <v>6</v>
      </c>
      <c r="D357" s="4" t="s">
        <v>16</v>
      </c>
      <c r="E357" s="5" t="s">
        <v>17</v>
      </c>
      <c r="F357" s="6">
        <f>SUMIF('MS SAP Dump'!$F$2:$F$603,$A357,'MS SAP Dump'!$D$2:$D$603)</f>
        <v>27</v>
      </c>
      <c r="G357" s="6">
        <v>60</v>
      </c>
      <c r="H357" s="6">
        <f>SUMIF('HSD SAP Dump'!$F$2:$F$602,$A357,'HSD SAP Dump'!$D$2:$D$602)</f>
        <v>69</v>
      </c>
      <c r="I357" s="6">
        <v>60</v>
      </c>
    </row>
    <row r="358" spans="1:9" x14ac:dyDescent="0.35">
      <c r="A358" s="2">
        <v>285568</v>
      </c>
      <c r="B358" s="3" t="s">
        <v>376</v>
      </c>
      <c r="C358" s="2" t="s">
        <v>6</v>
      </c>
      <c r="D358" s="4" t="s">
        <v>19</v>
      </c>
      <c r="E358" s="5" t="s">
        <v>17</v>
      </c>
      <c r="F358" s="6">
        <f>SUMIF('MS SAP Dump'!$F$2:$F$603,$A358,'MS SAP Dump'!$D$2:$D$603)</f>
        <v>53.5</v>
      </c>
      <c r="G358" s="6">
        <v>74</v>
      </c>
      <c r="H358" s="6">
        <f>SUMIF('HSD SAP Dump'!$F$2:$F$602,$A358,'HSD SAP Dump'!$D$2:$D$602)</f>
        <v>97.5</v>
      </c>
      <c r="I358" s="6">
        <v>74</v>
      </c>
    </row>
    <row r="359" spans="1:9" x14ac:dyDescent="0.35">
      <c r="A359" s="2">
        <v>286127</v>
      </c>
      <c r="B359" s="3" t="s">
        <v>377</v>
      </c>
      <c r="C359" s="2" t="s">
        <v>6</v>
      </c>
      <c r="D359" s="4" t="s">
        <v>52</v>
      </c>
      <c r="E359" s="5" t="s">
        <v>8</v>
      </c>
      <c r="F359" s="6">
        <f>SUMIF('MS SAP Dump'!$F$2:$F$603,$A359,'MS SAP Dump'!$D$2:$D$603)</f>
        <v>42</v>
      </c>
      <c r="G359" s="6">
        <v>336.5</v>
      </c>
      <c r="H359" s="6">
        <f>SUMIF('HSD SAP Dump'!$F$2:$F$602,$A359,'HSD SAP Dump'!$D$2:$D$602)</f>
        <v>532</v>
      </c>
      <c r="I359" s="6">
        <v>336.5</v>
      </c>
    </row>
    <row r="360" spans="1:9" x14ac:dyDescent="0.35">
      <c r="A360" s="2">
        <v>286691</v>
      </c>
      <c r="B360" s="3" t="s">
        <v>378</v>
      </c>
      <c r="C360" s="2" t="s">
        <v>6</v>
      </c>
      <c r="D360" s="4" t="s">
        <v>16</v>
      </c>
      <c r="E360" s="5" t="s">
        <v>17</v>
      </c>
      <c r="F360" s="6">
        <f>SUMIF('MS SAP Dump'!$F$2:$F$603,$A360,'MS SAP Dump'!$D$2:$D$603)</f>
        <v>14</v>
      </c>
      <c r="G360" s="6">
        <v>17.5</v>
      </c>
      <c r="H360" s="6">
        <f>SUMIF('HSD SAP Dump'!$F$2:$F$602,$A360,'HSD SAP Dump'!$D$2:$D$602)</f>
        <v>42</v>
      </c>
      <c r="I360" s="6">
        <v>17.5</v>
      </c>
    </row>
    <row r="361" spans="1:9" x14ac:dyDescent="0.35">
      <c r="A361" s="2">
        <v>288112</v>
      </c>
      <c r="B361" s="3" t="s">
        <v>379</v>
      </c>
      <c r="C361" s="2" t="s">
        <v>6</v>
      </c>
      <c r="D361" s="4" t="s">
        <v>26</v>
      </c>
      <c r="E361" s="5" t="s">
        <v>17</v>
      </c>
      <c r="F361" s="6">
        <f>SUMIF('MS SAP Dump'!$F$2:$F$603,$A361,'MS SAP Dump'!$D$2:$D$603)</f>
        <v>78</v>
      </c>
      <c r="G361" s="6">
        <v>57</v>
      </c>
      <c r="H361" s="6">
        <f>SUMIF('HSD SAP Dump'!$F$2:$F$602,$A361,'HSD SAP Dump'!$D$2:$D$602)</f>
        <v>66</v>
      </c>
      <c r="I361" s="6">
        <v>57</v>
      </c>
    </row>
    <row r="362" spans="1:9" x14ac:dyDescent="0.35">
      <c r="A362" s="2">
        <v>288293</v>
      </c>
      <c r="B362" s="3" t="s">
        <v>380</v>
      </c>
      <c r="C362" s="2" t="s">
        <v>6</v>
      </c>
      <c r="D362" s="4" t="s">
        <v>14</v>
      </c>
      <c r="E362" s="5" t="s">
        <v>8</v>
      </c>
      <c r="F362" s="6">
        <f>SUMIF('MS SAP Dump'!$F$2:$F$603,$A362,'MS SAP Dump'!$D$2:$D$603)</f>
        <v>34</v>
      </c>
      <c r="G362" s="6">
        <v>9</v>
      </c>
      <c r="H362" s="6">
        <f>SUMIF('HSD SAP Dump'!$F$2:$F$602,$A362,'HSD SAP Dump'!$D$2:$D$602)</f>
        <v>184</v>
      </c>
      <c r="I362" s="6">
        <v>9</v>
      </c>
    </row>
    <row r="363" spans="1:9" x14ac:dyDescent="0.35">
      <c r="A363" s="2">
        <v>288339</v>
      </c>
      <c r="B363" s="3" t="s">
        <v>381</v>
      </c>
      <c r="C363" s="2" t="s">
        <v>6</v>
      </c>
      <c r="D363" s="4" t="s">
        <v>47</v>
      </c>
      <c r="E363" s="5" t="s">
        <v>8</v>
      </c>
      <c r="F363" s="6">
        <f>SUMIF('MS SAP Dump'!$F$2:$F$603,$A363,'MS SAP Dump'!$D$2:$D$603)</f>
        <v>36.5</v>
      </c>
      <c r="G363" s="6">
        <v>123</v>
      </c>
      <c r="H363" s="6">
        <f>SUMIF('HSD SAP Dump'!$F$2:$F$602,$A363,'HSD SAP Dump'!$D$2:$D$602)</f>
        <v>225.5</v>
      </c>
      <c r="I363" s="6">
        <v>123</v>
      </c>
    </row>
    <row r="364" spans="1:9" x14ac:dyDescent="0.35">
      <c r="A364" s="2">
        <v>288855</v>
      </c>
      <c r="B364" s="3" t="s">
        <v>382</v>
      </c>
      <c r="C364" s="2" t="s">
        <v>6</v>
      </c>
      <c r="D364" s="4" t="s">
        <v>10</v>
      </c>
      <c r="E364" s="5" t="s">
        <v>8</v>
      </c>
      <c r="F364" s="6">
        <f>SUMIF('MS SAP Dump'!$F$2:$F$603,$A364,'MS SAP Dump'!$D$2:$D$603)</f>
        <v>14</v>
      </c>
      <c r="G364" s="6">
        <v>144</v>
      </c>
      <c r="H364" s="6">
        <f>SUMIF('HSD SAP Dump'!$F$2:$F$602,$A364,'HSD SAP Dump'!$D$2:$D$602)</f>
        <v>126</v>
      </c>
      <c r="I364" s="6">
        <v>144</v>
      </c>
    </row>
    <row r="365" spans="1:9" x14ac:dyDescent="0.35">
      <c r="A365" s="2">
        <v>289408</v>
      </c>
      <c r="B365" s="3" t="s">
        <v>383</v>
      </c>
      <c r="C365" s="2" t="s">
        <v>6</v>
      </c>
      <c r="D365" s="4" t="s">
        <v>7</v>
      </c>
      <c r="E365" s="5" t="s">
        <v>8</v>
      </c>
      <c r="F365" s="6">
        <f>SUMIF('MS SAP Dump'!$F$2:$F$603,$A365,'MS SAP Dump'!$D$2:$D$603)</f>
        <v>15</v>
      </c>
      <c r="G365" s="6">
        <v>28.5</v>
      </c>
      <c r="H365" s="6">
        <f>SUMIF('HSD SAP Dump'!$F$2:$F$602,$A365,'HSD SAP Dump'!$D$2:$D$602)</f>
        <v>33</v>
      </c>
      <c r="I365" s="6">
        <v>28.5</v>
      </c>
    </row>
    <row r="366" spans="1:9" x14ac:dyDescent="0.35">
      <c r="A366" s="2">
        <v>289411</v>
      </c>
      <c r="B366" s="3" t="s">
        <v>384</v>
      </c>
      <c r="C366" s="2" t="s">
        <v>6</v>
      </c>
      <c r="D366" s="4" t="s">
        <v>26</v>
      </c>
      <c r="E366" s="5" t="s">
        <v>17</v>
      </c>
      <c r="F366" s="6">
        <f>SUMIF('MS SAP Dump'!$F$2:$F$603,$A366,'MS SAP Dump'!$D$2:$D$603)</f>
        <v>9</v>
      </c>
      <c r="G366" s="6">
        <v>38</v>
      </c>
      <c r="H366" s="6">
        <f>SUMIF('HSD SAP Dump'!$F$2:$F$602,$A366,'HSD SAP Dump'!$D$2:$D$602)</f>
        <v>27</v>
      </c>
      <c r="I366" s="6">
        <v>38</v>
      </c>
    </row>
    <row r="367" spans="1:9" x14ac:dyDescent="0.35">
      <c r="A367" s="2">
        <v>289431</v>
      </c>
      <c r="B367" s="3" t="s">
        <v>385</v>
      </c>
      <c r="C367" s="2" t="s">
        <v>6</v>
      </c>
      <c r="D367" s="4" t="s">
        <v>47</v>
      </c>
      <c r="E367" s="5" t="s">
        <v>8</v>
      </c>
      <c r="F367" s="6">
        <f>SUMIF('MS SAP Dump'!$F$2:$F$603,$A367,'MS SAP Dump'!$D$2:$D$603)</f>
        <v>5</v>
      </c>
      <c r="G367" s="6">
        <v>74</v>
      </c>
      <c r="H367" s="6">
        <f>SUMIF('HSD SAP Dump'!$F$2:$F$602,$A367,'HSD SAP Dump'!$D$2:$D$602)</f>
        <v>119</v>
      </c>
      <c r="I367" s="6">
        <v>74</v>
      </c>
    </row>
    <row r="368" spans="1:9" x14ac:dyDescent="0.35">
      <c r="A368" s="2">
        <v>290590</v>
      </c>
      <c r="B368" s="3" t="s">
        <v>386</v>
      </c>
      <c r="C368" s="2" t="s">
        <v>6</v>
      </c>
      <c r="D368" s="4" t="s">
        <v>16</v>
      </c>
      <c r="E368" s="5" t="s">
        <v>17</v>
      </c>
      <c r="F368" s="6">
        <f>SUMIF('MS SAP Dump'!$F$2:$F$603,$A368,'MS SAP Dump'!$D$2:$D$603)</f>
        <v>30</v>
      </c>
      <c r="G368" s="6">
        <v>131</v>
      </c>
      <c r="H368" s="6">
        <f>SUMIF('HSD SAP Dump'!$F$2:$F$602,$A368,'HSD SAP Dump'!$D$2:$D$602)</f>
        <v>138</v>
      </c>
      <c r="I368" s="6">
        <v>131</v>
      </c>
    </row>
    <row r="369" spans="1:9" x14ac:dyDescent="0.35">
      <c r="A369" s="2">
        <v>291500</v>
      </c>
      <c r="B369" s="3" t="s">
        <v>387</v>
      </c>
      <c r="C369" s="2" t="s">
        <v>6</v>
      </c>
      <c r="D369" s="4" t="s">
        <v>52</v>
      </c>
      <c r="E369" s="5" t="s">
        <v>8</v>
      </c>
      <c r="F369" s="6">
        <f>SUMIF('MS SAP Dump'!$F$2:$F$603,$A369,'MS SAP Dump'!$D$2:$D$603)</f>
        <v>49</v>
      </c>
      <c r="G369" s="6">
        <v>149.5</v>
      </c>
      <c r="H369" s="6">
        <f>SUMIF('HSD SAP Dump'!$F$2:$F$602,$A369,'HSD SAP Dump'!$D$2:$D$602)</f>
        <v>183</v>
      </c>
      <c r="I369" s="6">
        <v>149.5</v>
      </c>
    </row>
    <row r="370" spans="1:9" x14ac:dyDescent="0.35">
      <c r="A370" s="2">
        <v>291503</v>
      </c>
      <c r="B370" s="3" t="s">
        <v>388</v>
      </c>
      <c r="C370" s="2" t="s">
        <v>6</v>
      </c>
      <c r="D370" s="4" t="s">
        <v>44</v>
      </c>
      <c r="E370" s="5" t="s">
        <v>40</v>
      </c>
      <c r="F370" s="6">
        <f>SUMIF('MS SAP Dump'!$F$2:$F$603,$A370,'MS SAP Dump'!$D$2:$D$603)</f>
        <v>0</v>
      </c>
      <c r="G370" s="6">
        <v>12</v>
      </c>
      <c r="H370" s="6">
        <f>SUMIF('HSD SAP Dump'!$F$2:$F$602,$A370,'HSD SAP Dump'!$D$2:$D$602)</f>
        <v>0</v>
      </c>
      <c r="I370" s="6">
        <v>12</v>
      </c>
    </row>
    <row r="371" spans="1:9" x14ac:dyDescent="0.35">
      <c r="A371" s="2">
        <v>292104</v>
      </c>
      <c r="B371" s="3" t="s">
        <v>389</v>
      </c>
      <c r="C371" s="2" t="s">
        <v>6</v>
      </c>
      <c r="D371" s="4" t="s">
        <v>44</v>
      </c>
      <c r="E371" s="5" t="s">
        <v>40</v>
      </c>
      <c r="F371" s="6">
        <f>SUMIF('MS SAP Dump'!$F$2:$F$603,$A371,'MS SAP Dump'!$D$2:$D$603)</f>
        <v>24</v>
      </c>
      <c r="G371" s="6">
        <v>17.5</v>
      </c>
      <c r="H371" s="6">
        <f>SUMIF('HSD SAP Dump'!$F$2:$F$602,$A371,'HSD SAP Dump'!$D$2:$D$602)</f>
        <v>12</v>
      </c>
      <c r="I371" s="6">
        <v>17.5</v>
      </c>
    </row>
    <row r="372" spans="1:9" x14ac:dyDescent="0.35">
      <c r="A372" s="2">
        <v>292403</v>
      </c>
      <c r="B372" s="3" t="s">
        <v>390</v>
      </c>
      <c r="C372" s="2" t="s">
        <v>6</v>
      </c>
      <c r="D372" s="4" t="s">
        <v>39</v>
      </c>
      <c r="E372" s="5" t="s">
        <v>40</v>
      </c>
      <c r="F372" s="6">
        <f>SUMIF('MS SAP Dump'!$F$2:$F$603,$A372,'MS SAP Dump'!$D$2:$D$603)</f>
        <v>3</v>
      </c>
      <c r="G372" s="6">
        <v>6</v>
      </c>
      <c r="H372" s="6">
        <f>SUMIF('HSD SAP Dump'!$F$2:$F$602,$A372,'HSD SAP Dump'!$D$2:$D$602)</f>
        <v>9</v>
      </c>
      <c r="I372" s="6">
        <v>6</v>
      </c>
    </row>
    <row r="373" spans="1:9" x14ac:dyDescent="0.35">
      <c r="A373" s="2">
        <v>292473</v>
      </c>
      <c r="B373" s="3" t="s">
        <v>391</v>
      </c>
      <c r="C373" s="2" t="s">
        <v>6</v>
      </c>
      <c r="D373" s="4" t="s">
        <v>7</v>
      </c>
      <c r="E373" s="5" t="s">
        <v>8</v>
      </c>
      <c r="F373" s="6">
        <f>SUMIF('MS SAP Dump'!$F$2:$F$603,$A373,'MS SAP Dump'!$D$2:$D$603)</f>
        <v>0</v>
      </c>
      <c r="G373" s="6">
        <v>110</v>
      </c>
      <c r="H373" s="6">
        <f>SUMIF('HSD SAP Dump'!$F$2:$F$602,$A373,'HSD SAP Dump'!$D$2:$D$602)</f>
        <v>0</v>
      </c>
      <c r="I373" s="6">
        <v>110</v>
      </c>
    </row>
    <row r="374" spans="1:9" x14ac:dyDescent="0.35">
      <c r="A374" s="2">
        <v>292488</v>
      </c>
      <c r="B374" s="3" t="s">
        <v>392</v>
      </c>
      <c r="C374" s="2" t="s">
        <v>6</v>
      </c>
      <c r="D374" s="4" t="s">
        <v>10</v>
      </c>
      <c r="E374" s="5" t="s">
        <v>8</v>
      </c>
      <c r="F374" s="6">
        <f>SUMIF('MS SAP Dump'!$F$2:$F$603,$A374,'MS SAP Dump'!$D$2:$D$603)</f>
        <v>25</v>
      </c>
      <c r="G374" s="6">
        <v>68.5</v>
      </c>
      <c r="H374" s="6">
        <f>SUMIF('HSD SAP Dump'!$F$2:$F$602,$A374,'HSD SAP Dump'!$D$2:$D$602)</f>
        <v>75</v>
      </c>
      <c r="I374" s="6">
        <v>68.5</v>
      </c>
    </row>
    <row r="375" spans="1:9" x14ac:dyDescent="0.35">
      <c r="A375" s="2">
        <v>292810</v>
      </c>
      <c r="B375" s="3" t="s">
        <v>393</v>
      </c>
      <c r="C375" s="2" t="s">
        <v>6</v>
      </c>
      <c r="D375" s="4" t="s">
        <v>39</v>
      </c>
      <c r="E375" s="5" t="s">
        <v>40</v>
      </c>
      <c r="F375" s="6">
        <f>SUMIF('MS SAP Dump'!$F$2:$F$603,$A375,'MS SAP Dump'!$D$2:$D$603)</f>
        <v>66</v>
      </c>
      <c r="G375" s="6">
        <v>120</v>
      </c>
      <c r="H375" s="6">
        <f>SUMIF('HSD SAP Dump'!$F$2:$F$602,$A375,'HSD SAP Dump'!$D$2:$D$602)</f>
        <v>150</v>
      </c>
      <c r="I375" s="6">
        <v>120</v>
      </c>
    </row>
    <row r="376" spans="1:9" x14ac:dyDescent="0.35">
      <c r="A376" s="2">
        <v>292987</v>
      </c>
      <c r="B376" s="3" t="s">
        <v>394</v>
      </c>
      <c r="C376" s="2" t="s">
        <v>6</v>
      </c>
      <c r="D376" s="4" t="s">
        <v>12</v>
      </c>
      <c r="E376" s="5" t="s">
        <v>8</v>
      </c>
      <c r="F376" s="6">
        <f>SUMIF('MS SAP Dump'!$F$2:$F$603,$A376,'MS SAP Dump'!$D$2:$D$603)</f>
        <v>355</v>
      </c>
      <c r="G376" s="6">
        <v>190</v>
      </c>
      <c r="H376" s="6">
        <f>SUMIF('HSD SAP Dump'!$F$2:$F$602,$A376,'HSD SAP Dump'!$D$2:$D$602)</f>
        <v>209</v>
      </c>
      <c r="I376" s="6">
        <v>190</v>
      </c>
    </row>
    <row r="377" spans="1:9" x14ac:dyDescent="0.35">
      <c r="A377" s="2">
        <v>293084</v>
      </c>
      <c r="B377" s="3" t="s">
        <v>395</v>
      </c>
      <c r="C377" s="2" t="s">
        <v>6</v>
      </c>
      <c r="D377" s="4" t="s">
        <v>52</v>
      </c>
      <c r="E377" s="5" t="s">
        <v>8</v>
      </c>
      <c r="F377" s="6">
        <f>SUMIF('MS SAP Dump'!$F$2:$F$603,$A377,'MS SAP Dump'!$D$2:$D$603)</f>
        <v>60</v>
      </c>
      <c r="G377" s="6">
        <v>6</v>
      </c>
      <c r="H377" s="6">
        <f>SUMIF('HSD SAP Dump'!$F$2:$F$602,$A377,'HSD SAP Dump'!$D$2:$D$602)</f>
        <v>12</v>
      </c>
      <c r="I377" s="6">
        <v>6</v>
      </c>
    </row>
    <row r="378" spans="1:9" x14ac:dyDescent="0.35">
      <c r="A378" s="2">
        <v>293485</v>
      </c>
      <c r="B378" s="3" t="s">
        <v>396</v>
      </c>
      <c r="C378" s="2" t="s">
        <v>6</v>
      </c>
      <c r="D378" s="4" t="s">
        <v>19</v>
      </c>
      <c r="E378" s="5" t="s">
        <v>17</v>
      </c>
      <c r="F378" s="6">
        <f>SUMIF('MS SAP Dump'!$F$2:$F$603,$A378,'MS SAP Dump'!$D$2:$D$603)</f>
        <v>13.5</v>
      </c>
      <c r="G378" s="6">
        <v>23</v>
      </c>
      <c r="H378" s="6">
        <f>SUMIF('HSD SAP Dump'!$F$2:$F$602,$A378,'HSD SAP Dump'!$D$2:$D$602)</f>
        <v>36.5</v>
      </c>
      <c r="I378" s="6">
        <v>23</v>
      </c>
    </row>
    <row r="379" spans="1:9" x14ac:dyDescent="0.35">
      <c r="A379" s="2">
        <v>294669</v>
      </c>
      <c r="B379" s="3" t="s">
        <v>397</v>
      </c>
      <c r="C379" s="2" t="s">
        <v>6</v>
      </c>
      <c r="D379" s="4" t="s">
        <v>19</v>
      </c>
      <c r="E379" s="5" t="s">
        <v>17</v>
      </c>
      <c r="F379" s="6">
        <f>SUMIF('MS SAP Dump'!$F$2:$F$603,$A379,'MS SAP Dump'!$D$2:$D$603)</f>
        <v>18</v>
      </c>
      <c r="G379" s="6">
        <v>47</v>
      </c>
      <c r="H379" s="6">
        <f>SUMIF('HSD SAP Dump'!$F$2:$F$602,$A379,'HSD SAP Dump'!$D$2:$D$602)</f>
        <v>30</v>
      </c>
      <c r="I379" s="6">
        <v>47</v>
      </c>
    </row>
    <row r="380" spans="1:9" x14ac:dyDescent="0.35">
      <c r="A380" s="2">
        <v>295142</v>
      </c>
      <c r="B380" s="3" t="s">
        <v>398</v>
      </c>
      <c r="C380" s="2" t="s">
        <v>6</v>
      </c>
      <c r="D380" s="4" t="s">
        <v>14</v>
      </c>
      <c r="E380" s="5" t="s">
        <v>8</v>
      </c>
      <c r="F380" s="6">
        <f>SUMIF('MS SAP Dump'!$F$2:$F$603,$A380,'MS SAP Dump'!$D$2:$D$603)</f>
        <v>18</v>
      </c>
      <c r="G380" s="6">
        <v>10.5</v>
      </c>
      <c r="H380" s="6">
        <f>SUMIF('HSD SAP Dump'!$F$2:$F$602,$A380,'HSD SAP Dump'!$D$2:$D$602)</f>
        <v>234</v>
      </c>
      <c r="I380" s="6">
        <v>10.5</v>
      </c>
    </row>
    <row r="381" spans="1:9" x14ac:dyDescent="0.35">
      <c r="A381" s="2">
        <v>295696</v>
      </c>
      <c r="B381" s="3" t="s">
        <v>399</v>
      </c>
      <c r="C381" s="2" t="s">
        <v>6</v>
      </c>
      <c r="D381" s="4" t="s">
        <v>47</v>
      </c>
      <c r="E381" s="5" t="s">
        <v>8</v>
      </c>
      <c r="F381" s="6">
        <f>SUMIF('MS SAP Dump'!$F$2:$F$603,$A381,'MS SAP Dump'!$D$2:$D$603)</f>
        <v>42</v>
      </c>
      <c r="G381" s="6">
        <v>84</v>
      </c>
      <c r="H381" s="6">
        <f>SUMIF('HSD SAP Dump'!$F$2:$F$602,$A381,'HSD SAP Dump'!$D$2:$D$602)</f>
        <v>126</v>
      </c>
      <c r="I381" s="6">
        <v>84</v>
      </c>
    </row>
    <row r="382" spans="1:9" x14ac:dyDescent="0.35">
      <c r="A382" s="2">
        <v>295698</v>
      </c>
      <c r="B382" s="3" t="s">
        <v>400</v>
      </c>
      <c r="C382" s="2" t="s">
        <v>6</v>
      </c>
      <c r="D382" s="4" t="s">
        <v>12</v>
      </c>
      <c r="E382" s="5" t="s">
        <v>8</v>
      </c>
      <c r="F382" s="6">
        <f>SUMIF('MS SAP Dump'!$F$2:$F$603,$A382,'MS SAP Dump'!$D$2:$D$603)</f>
        <v>178</v>
      </c>
      <c r="G382" s="6">
        <v>343</v>
      </c>
      <c r="H382" s="6">
        <f>SUMIF('HSD SAP Dump'!$F$2:$F$602,$A382,'HSD SAP Dump'!$D$2:$D$602)</f>
        <v>498</v>
      </c>
      <c r="I382" s="6">
        <v>343</v>
      </c>
    </row>
    <row r="383" spans="1:9" x14ac:dyDescent="0.35">
      <c r="A383" s="2">
        <v>296138</v>
      </c>
      <c r="B383" s="3" t="s">
        <v>401</v>
      </c>
      <c r="C383" s="2" t="s">
        <v>6</v>
      </c>
      <c r="D383" s="4" t="s">
        <v>39</v>
      </c>
      <c r="E383" s="5" t="s">
        <v>40</v>
      </c>
      <c r="F383" s="6">
        <f>SUMIF('MS SAP Dump'!$F$2:$F$603,$A383,'MS SAP Dump'!$D$2:$D$603)</f>
        <v>249</v>
      </c>
      <c r="G383" s="6">
        <v>202</v>
      </c>
      <c r="H383" s="6">
        <f>SUMIF('HSD SAP Dump'!$F$2:$F$602,$A383,'HSD SAP Dump'!$D$2:$D$602)</f>
        <v>277</v>
      </c>
      <c r="I383" s="6">
        <v>202</v>
      </c>
    </row>
    <row r="384" spans="1:9" x14ac:dyDescent="0.35">
      <c r="A384" s="2">
        <v>296171</v>
      </c>
      <c r="B384" s="3" t="s">
        <v>402</v>
      </c>
      <c r="C384" s="2" t="s">
        <v>6</v>
      </c>
      <c r="D384" s="4" t="s">
        <v>39</v>
      </c>
      <c r="E384" s="5" t="s">
        <v>40</v>
      </c>
      <c r="F384" s="6">
        <f>SUMIF('MS SAP Dump'!$F$2:$F$603,$A384,'MS SAP Dump'!$D$2:$D$603)</f>
        <v>133</v>
      </c>
      <c r="G384" s="6">
        <v>105</v>
      </c>
      <c r="H384" s="6">
        <f>SUMIF('HSD SAP Dump'!$F$2:$F$602,$A384,'HSD SAP Dump'!$D$2:$D$602)</f>
        <v>119</v>
      </c>
      <c r="I384" s="6">
        <v>105</v>
      </c>
    </row>
    <row r="385" spans="1:9" x14ac:dyDescent="0.35">
      <c r="A385" s="2">
        <v>296308</v>
      </c>
      <c r="B385" s="3" t="s">
        <v>403</v>
      </c>
      <c r="C385" s="2" t="s">
        <v>6</v>
      </c>
      <c r="D385" s="4" t="s">
        <v>52</v>
      </c>
      <c r="E385" s="5" t="s">
        <v>8</v>
      </c>
      <c r="F385" s="6">
        <f>SUMIF('MS SAP Dump'!$F$2:$F$603,$A385,'MS SAP Dump'!$D$2:$D$603)</f>
        <v>21</v>
      </c>
      <c r="G385" s="6">
        <v>57</v>
      </c>
      <c r="H385" s="6">
        <f>SUMIF('HSD SAP Dump'!$F$2:$F$602,$A385,'HSD SAP Dump'!$D$2:$D$602)</f>
        <v>63</v>
      </c>
      <c r="I385" s="6">
        <v>57</v>
      </c>
    </row>
    <row r="386" spans="1:9" x14ac:dyDescent="0.35">
      <c r="A386" s="2">
        <v>296747</v>
      </c>
      <c r="B386" s="3" t="s">
        <v>404</v>
      </c>
      <c r="C386" s="2" t="s">
        <v>6</v>
      </c>
      <c r="D386" s="4" t="s">
        <v>10</v>
      </c>
      <c r="E386" s="5" t="s">
        <v>8</v>
      </c>
      <c r="F386" s="6">
        <f>SUMIF('MS SAP Dump'!$F$2:$F$603,$A386,'MS SAP Dump'!$D$2:$D$603)</f>
        <v>240</v>
      </c>
      <c r="G386" s="6">
        <v>460</v>
      </c>
      <c r="H386" s="6">
        <f>SUMIF('HSD SAP Dump'!$F$2:$F$602,$A386,'HSD SAP Dump'!$D$2:$D$602)</f>
        <v>580</v>
      </c>
      <c r="I386" s="6">
        <v>460</v>
      </c>
    </row>
    <row r="387" spans="1:9" x14ac:dyDescent="0.35">
      <c r="A387" s="2">
        <v>297159</v>
      </c>
      <c r="B387" s="3" t="s">
        <v>405</v>
      </c>
      <c r="C387" s="2" t="s">
        <v>6</v>
      </c>
      <c r="D387" s="4" t="s">
        <v>52</v>
      </c>
      <c r="E387" s="5" t="s">
        <v>8</v>
      </c>
      <c r="F387" s="6">
        <f>SUMIF('MS SAP Dump'!$F$2:$F$603,$A387,'MS SAP Dump'!$D$2:$D$603)</f>
        <v>22</v>
      </c>
      <c r="G387" s="6">
        <v>52</v>
      </c>
      <c r="H387" s="6">
        <f>SUMIF('HSD SAP Dump'!$F$2:$F$602,$A387,'HSD SAP Dump'!$D$2:$D$602)</f>
        <v>28</v>
      </c>
      <c r="I387" s="6">
        <v>52</v>
      </c>
    </row>
    <row r="388" spans="1:9" x14ac:dyDescent="0.35">
      <c r="A388" s="2">
        <v>297758</v>
      </c>
      <c r="B388" s="3" t="s">
        <v>406</v>
      </c>
      <c r="C388" s="2" t="s">
        <v>6</v>
      </c>
      <c r="D388" s="4" t="s">
        <v>52</v>
      </c>
      <c r="E388" s="5" t="s">
        <v>8</v>
      </c>
      <c r="F388" s="6">
        <f>SUMIF('MS SAP Dump'!$F$2:$F$603,$A388,'MS SAP Dump'!$D$2:$D$603)</f>
        <v>9</v>
      </c>
      <c r="G388" s="6">
        <v>34</v>
      </c>
      <c r="H388" s="6">
        <f>SUMIF('HSD SAP Dump'!$F$2:$F$602,$A388,'HSD SAP Dump'!$D$2:$D$602)</f>
        <v>15</v>
      </c>
      <c r="I388" s="6">
        <v>34</v>
      </c>
    </row>
    <row r="389" spans="1:9" x14ac:dyDescent="0.35">
      <c r="A389" s="2">
        <v>298395</v>
      </c>
      <c r="B389" s="3" t="s">
        <v>407</v>
      </c>
      <c r="C389" s="2" t="s">
        <v>6</v>
      </c>
      <c r="D389" s="4" t="s">
        <v>19</v>
      </c>
      <c r="E389" s="5" t="s">
        <v>17</v>
      </c>
      <c r="F389" s="6">
        <f>SUMIF('MS SAP Dump'!$F$2:$F$603,$A389,'MS SAP Dump'!$D$2:$D$603)</f>
        <v>17</v>
      </c>
      <c r="G389" s="6">
        <v>60.5</v>
      </c>
      <c r="H389" s="6">
        <f>SUMIF('HSD SAP Dump'!$F$2:$F$602,$A389,'HSD SAP Dump'!$D$2:$D$602)</f>
        <v>63</v>
      </c>
      <c r="I389" s="6">
        <v>60.5</v>
      </c>
    </row>
    <row r="390" spans="1:9" x14ac:dyDescent="0.35">
      <c r="A390" s="2">
        <v>298396</v>
      </c>
      <c r="B390" s="3" t="s">
        <v>408</v>
      </c>
      <c r="C390" s="2" t="s">
        <v>6</v>
      </c>
      <c r="D390" s="4" t="s">
        <v>12</v>
      </c>
      <c r="E390" s="5" t="s">
        <v>8</v>
      </c>
      <c r="F390" s="6">
        <f>SUMIF('MS SAP Dump'!$F$2:$F$603,$A390,'MS SAP Dump'!$D$2:$D$603)</f>
        <v>120</v>
      </c>
      <c r="G390" s="6">
        <v>193</v>
      </c>
      <c r="H390" s="6">
        <f>SUMIF('HSD SAP Dump'!$F$2:$F$602,$A390,'HSD SAP Dump'!$D$2:$D$602)</f>
        <v>288</v>
      </c>
      <c r="I390" s="6">
        <v>193</v>
      </c>
    </row>
    <row r="391" spans="1:9" x14ac:dyDescent="0.35">
      <c r="A391" s="2">
        <v>298886</v>
      </c>
      <c r="B391" s="3" t="s">
        <v>409</v>
      </c>
      <c r="C391" s="2" t="s">
        <v>6</v>
      </c>
      <c r="D391" s="4" t="s">
        <v>44</v>
      </c>
      <c r="E391" s="5" t="s">
        <v>40</v>
      </c>
      <c r="F391" s="6">
        <f>SUMIF('MS SAP Dump'!$F$2:$F$603,$A391,'MS SAP Dump'!$D$2:$D$603)</f>
        <v>51</v>
      </c>
      <c r="G391" s="6">
        <v>33</v>
      </c>
      <c r="H391" s="6">
        <f>SUMIF('HSD SAP Dump'!$F$2:$F$602,$A391,'HSD SAP Dump'!$D$2:$D$602)</f>
        <v>81</v>
      </c>
      <c r="I391" s="6">
        <v>33</v>
      </c>
    </row>
    <row r="392" spans="1:9" x14ac:dyDescent="0.35">
      <c r="A392" s="2">
        <v>298930</v>
      </c>
      <c r="B392" s="3" t="s">
        <v>410</v>
      </c>
      <c r="C392" s="2" t="s">
        <v>6</v>
      </c>
      <c r="D392" s="4" t="s">
        <v>26</v>
      </c>
      <c r="E392" s="5" t="s">
        <v>17</v>
      </c>
      <c r="F392" s="6">
        <f>SUMIF('MS SAP Dump'!$F$2:$F$603,$A392,'MS SAP Dump'!$D$2:$D$603)</f>
        <v>26</v>
      </c>
      <c r="G392" s="6">
        <v>73</v>
      </c>
      <c r="H392" s="6">
        <f>SUMIF('HSD SAP Dump'!$F$2:$F$602,$A392,'HSD SAP Dump'!$D$2:$D$602)</f>
        <v>58</v>
      </c>
      <c r="I392" s="6">
        <v>73</v>
      </c>
    </row>
    <row r="393" spans="1:9" x14ac:dyDescent="0.35">
      <c r="A393" s="2">
        <v>299250</v>
      </c>
      <c r="B393" s="3" t="s">
        <v>411</v>
      </c>
      <c r="C393" s="2" t="s">
        <v>6</v>
      </c>
      <c r="D393" s="4" t="s">
        <v>47</v>
      </c>
      <c r="E393" s="5" t="s">
        <v>8</v>
      </c>
      <c r="F393" s="6">
        <f>SUMIF('MS SAP Dump'!$F$2:$F$603,$A393,'MS SAP Dump'!$D$2:$D$603)</f>
        <v>9</v>
      </c>
      <c r="G393" s="6">
        <v>9</v>
      </c>
      <c r="H393" s="6">
        <f>SUMIF('HSD SAP Dump'!$F$2:$F$602,$A393,'HSD SAP Dump'!$D$2:$D$602)</f>
        <v>39</v>
      </c>
      <c r="I393" s="6">
        <v>9</v>
      </c>
    </row>
    <row r="394" spans="1:9" x14ac:dyDescent="0.35">
      <c r="A394" s="2">
        <v>299293</v>
      </c>
      <c r="B394" s="3" t="s">
        <v>412</v>
      </c>
      <c r="C394" s="2" t="s">
        <v>6</v>
      </c>
      <c r="D394" s="4" t="s">
        <v>7</v>
      </c>
      <c r="E394" s="5" t="s">
        <v>8</v>
      </c>
      <c r="F394" s="6">
        <f>SUMIF('MS SAP Dump'!$F$2:$F$603,$A394,'MS SAP Dump'!$D$2:$D$603)</f>
        <v>12.5</v>
      </c>
      <c r="G394" s="6">
        <v>37</v>
      </c>
      <c r="H394" s="6">
        <f>SUMIF('HSD SAP Dump'!$F$2:$F$602,$A394,'HSD SAP Dump'!$D$2:$D$602)</f>
        <v>25.5</v>
      </c>
      <c r="I394" s="6">
        <v>37</v>
      </c>
    </row>
    <row r="395" spans="1:9" x14ac:dyDescent="0.35">
      <c r="A395" s="2">
        <v>299301</v>
      </c>
      <c r="B395" s="3" t="s">
        <v>413</v>
      </c>
      <c r="C395" s="2" t="s">
        <v>6</v>
      </c>
      <c r="D395" s="4" t="s">
        <v>47</v>
      </c>
      <c r="E395" s="5" t="s">
        <v>8</v>
      </c>
      <c r="F395" s="6">
        <f>SUMIF('MS SAP Dump'!$F$2:$F$603,$A395,'MS SAP Dump'!$D$2:$D$603)</f>
        <v>25</v>
      </c>
      <c r="G395" s="6">
        <v>162.5</v>
      </c>
      <c r="H395" s="6">
        <f>SUMIF('HSD SAP Dump'!$F$2:$F$602,$A395,'HSD SAP Dump'!$D$2:$D$602)</f>
        <v>225</v>
      </c>
      <c r="I395" s="6">
        <v>162.5</v>
      </c>
    </row>
    <row r="396" spans="1:9" x14ac:dyDescent="0.35">
      <c r="A396" s="2">
        <v>304691</v>
      </c>
      <c r="B396" s="3" t="s">
        <v>414</v>
      </c>
      <c r="C396" s="2" t="s">
        <v>6</v>
      </c>
      <c r="D396" s="4" t="s">
        <v>12</v>
      </c>
      <c r="E396" s="5" t="s">
        <v>8</v>
      </c>
      <c r="F396" s="6">
        <f>SUMIF('MS SAP Dump'!$F$2:$F$603,$A396,'MS SAP Dump'!$D$2:$D$603)</f>
        <v>276</v>
      </c>
      <c r="G396" s="6">
        <v>193</v>
      </c>
      <c r="H396" s="6">
        <f>SUMIF('HSD SAP Dump'!$F$2:$F$602,$A396,'HSD SAP Dump'!$D$2:$D$602)</f>
        <v>300</v>
      </c>
      <c r="I396" s="6">
        <v>193</v>
      </c>
    </row>
    <row r="397" spans="1:9" x14ac:dyDescent="0.35">
      <c r="A397" s="2">
        <v>304744</v>
      </c>
      <c r="B397" s="3" t="s">
        <v>415</v>
      </c>
      <c r="C397" s="2" t="s">
        <v>6</v>
      </c>
      <c r="D397" s="4" t="s">
        <v>10</v>
      </c>
      <c r="E397" s="5" t="s">
        <v>8</v>
      </c>
      <c r="F397" s="6">
        <f>SUMIF('MS SAP Dump'!$F$2:$F$603,$A397,'MS SAP Dump'!$D$2:$D$603)</f>
        <v>65</v>
      </c>
      <c r="G397" s="6">
        <v>135</v>
      </c>
      <c r="H397" s="6">
        <f>SUMIF('HSD SAP Dump'!$F$2:$F$602,$A397,'HSD SAP Dump'!$D$2:$D$602)</f>
        <v>195</v>
      </c>
      <c r="I397" s="6">
        <v>135</v>
      </c>
    </row>
    <row r="398" spans="1:9" x14ac:dyDescent="0.35">
      <c r="A398" s="2">
        <v>304746</v>
      </c>
      <c r="B398" s="3" t="s">
        <v>416</v>
      </c>
      <c r="C398" s="2" t="s">
        <v>6</v>
      </c>
      <c r="D398" s="4" t="s">
        <v>10</v>
      </c>
      <c r="E398" s="5" t="s">
        <v>8</v>
      </c>
      <c r="F398" s="6">
        <f>SUMIF('MS SAP Dump'!$F$2:$F$603,$A398,'MS SAP Dump'!$D$2:$D$603)</f>
        <v>39</v>
      </c>
      <c r="G398" s="6">
        <v>66</v>
      </c>
      <c r="H398" s="6">
        <f>SUMIF('HSD SAP Dump'!$F$2:$F$602,$A398,'HSD SAP Dump'!$D$2:$D$602)</f>
        <v>81</v>
      </c>
      <c r="I398" s="6">
        <v>66</v>
      </c>
    </row>
    <row r="399" spans="1:9" x14ac:dyDescent="0.35">
      <c r="A399" s="2">
        <v>305176</v>
      </c>
      <c r="B399" s="3" t="s">
        <v>417</v>
      </c>
      <c r="C399" s="2" t="s">
        <v>6</v>
      </c>
      <c r="D399" s="4" t="s">
        <v>39</v>
      </c>
      <c r="E399" s="5" t="s">
        <v>40</v>
      </c>
      <c r="F399" s="6">
        <f>SUMIF('MS SAP Dump'!$F$2:$F$603,$A399,'MS SAP Dump'!$D$2:$D$603)</f>
        <v>28</v>
      </c>
      <c r="G399" s="6">
        <v>42</v>
      </c>
      <c r="H399" s="6">
        <f>SUMIF('HSD SAP Dump'!$F$2:$F$602,$A399,'HSD SAP Dump'!$D$2:$D$602)</f>
        <v>42</v>
      </c>
      <c r="I399" s="6">
        <v>42</v>
      </c>
    </row>
    <row r="400" spans="1:9" x14ac:dyDescent="0.35">
      <c r="A400" s="2">
        <v>306123</v>
      </c>
      <c r="B400" s="3" t="s">
        <v>418</v>
      </c>
      <c r="C400" s="2" t="s">
        <v>6</v>
      </c>
      <c r="D400" s="4" t="s">
        <v>52</v>
      </c>
      <c r="E400" s="5" t="s">
        <v>8</v>
      </c>
      <c r="F400" s="6">
        <f>SUMIF('MS SAP Dump'!$F$2:$F$603,$A400,'MS SAP Dump'!$D$2:$D$603)</f>
        <v>30</v>
      </c>
      <c r="G400" s="6">
        <v>96</v>
      </c>
      <c r="H400" s="6">
        <f>SUMIF('HSD SAP Dump'!$F$2:$F$602,$A400,'HSD SAP Dump'!$D$2:$D$602)</f>
        <v>90</v>
      </c>
      <c r="I400" s="6">
        <v>96</v>
      </c>
    </row>
    <row r="401" spans="1:9" x14ac:dyDescent="0.35">
      <c r="A401" s="2">
        <v>306380</v>
      </c>
      <c r="B401" s="3" t="s">
        <v>419</v>
      </c>
      <c r="C401" s="2" t="s">
        <v>6</v>
      </c>
      <c r="D401" s="4" t="s">
        <v>52</v>
      </c>
      <c r="E401" s="5" t="s">
        <v>8</v>
      </c>
      <c r="F401" s="6">
        <f>SUMIF('MS SAP Dump'!$F$2:$F$603,$A401,'MS SAP Dump'!$D$2:$D$603)</f>
        <v>39</v>
      </c>
      <c r="G401" s="6">
        <v>111</v>
      </c>
      <c r="H401" s="6">
        <f>SUMIF('HSD SAP Dump'!$F$2:$F$602,$A401,'HSD SAP Dump'!$D$2:$D$602)</f>
        <v>57</v>
      </c>
      <c r="I401" s="6">
        <v>111</v>
      </c>
    </row>
    <row r="402" spans="1:9" x14ac:dyDescent="0.35">
      <c r="A402" s="2">
        <v>306971</v>
      </c>
      <c r="B402" s="3" t="s">
        <v>420</v>
      </c>
      <c r="C402" s="2" t="s">
        <v>6</v>
      </c>
      <c r="D402" s="4" t="s">
        <v>7</v>
      </c>
      <c r="E402" s="5" t="s">
        <v>8</v>
      </c>
      <c r="F402" s="6">
        <f>SUMIF('MS SAP Dump'!$F$2:$F$603,$A402,'MS SAP Dump'!$D$2:$D$603)</f>
        <v>6</v>
      </c>
      <c r="G402" s="6">
        <v>15</v>
      </c>
      <c r="H402" s="6">
        <f>SUMIF('HSD SAP Dump'!$F$2:$F$602,$A402,'HSD SAP Dump'!$D$2:$D$602)</f>
        <v>18</v>
      </c>
      <c r="I402" s="6">
        <v>15</v>
      </c>
    </row>
    <row r="403" spans="1:9" x14ac:dyDescent="0.35">
      <c r="A403" s="2">
        <v>307928</v>
      </c>
      <c r="B403" s="3" t="s">
        <v>421</v>
      </c>
      <c r="C403" s="2" t="s">
        <v>6</v>
      </c>
      <c r="D403" s="4" t="s">
        <v>12</v>
      </c>
      <c r="E403" s="5" t="s">
        <v>8</v>
      </c>
      <c r="F403" s="6">
        <f>SUMIF('MS SAP Dump'!$F$2:$F$603,$A403,'MS SAP Dump'!$D$2:$D$603)</f>
        <v>220</v>
      </c>
      <c r="G403" s="6">
        <v>136</v>
      </c>
      <c r="H403" s="6">
        <f>SUMIF('HSD SAP Dump'!$F$2:$F$602,$A403,'HSD SAP Dump'!$D$2:$D$602)</f>
        <v>140</v>
      </c>
      <c r="I403" s="6">
        <v>136</v>
      </c>
    </row>
    <row r="404" spans="1:9" x14ac:dyDescent="0.35">
      <c r="A404" s="2">
        <v>308514</v>
      </c>
      <c r="B404" s="3" t="s">
        <v>422</v>
      </c>
      <c r="C404" s="2" t="s">
        <v>6</v>
      </c>
      <c r="D404" s="4" t="s">
        <v>7</v>
      </c>
      <c r="E404" s="5" t="s">
        <v>8</v>
      </c>
      <c r="F404" s="6">
        <f>SUMIF('MS SAP Dump'!$F$2:$F$603,$A404,'MS SAP Dump'!$D$2:$D$603)</f>
        <v>26</v>
      </c>
      <c r="G404" s="6">
        <v>51</v>
      </c>
      <c r="H404" s="6">
        <f>SUMIF('HSD SAP Dump'!$F$2:$F$602,$A404,'HSD SAP Dump'!$D$2:$D$602)</f>
        <v>58</v>
      </c>
      <c r="I404" s="6">
        <v>51</v>
      </c>
    </row>
    <row r="405" spans="1:9" x14ac:dyDescent="0.35">
      <c r="A405" s="2">
        <v>308570</v>
      </c>
      <c r="B405" s="3" t="s">
        <v>423</v>
      </c>
      <c r="C405" s="2" t="s">
        <v>6</v>
      </c>
      <c r="D405" s="4" t="s">
        <v>14</v>
      </c>
      <c r="E405" s="5" t="s">
        <v>8</v>
      </c>
      <c r="F405" s="6">
        <f>SUMIF('MS SAP Dump'!$F$2:$F$603,$A405,'MS SAP Dump'!$D$2:$D$603)</f>
        <v>109</v>
      </c>
      <c r="G405" s="6">
        <v>130</v>
      </c>
      <c r="H405" s="6">
        <f>SUMIF('HSD SAP Dump'!$F$2:$F$602,$A405,'HSD SAP Dump'!$D$2:$D$602)</f>
        <v>167</v>
      </c>
      <c r="I405" s="6">
        <v>130</v>
      </c>
    </row>
    <row r="406" spans="1:9" x14ac:dyDescent="0.35">
      <c r="A406" s="2">
        <v>308586</v>
      </c>
      <c r="B406" s="3" t="s">
        <v>424</v>
      </c>
      <c r="C406" s="2" t="s">
        <v>6</v>
      </c>
      <c r="D406" s="4" t="s">
        <v>19</v>
      </c>
      <c r="E406" s="5" t="s">
        <v>17</v>
      </c>
      <c r="F406" s="6">
        <f>SUMIF('MS SAP Dump'!$F$2:$F$603,$A406,'MS SAP Dump'!$D$2:$D$603)</f>
        <v>27</v>
      </c>
      <c r="G406" s="6">
        <v>84</v>
      </c>
      <c r="H406" s="6">
        <f>SUMIF('HSD SAP Dump'!$F$2:$F$602,$A406,'HSD SAP Dump'!$D$2:$D$602)</f>
        <v>81</v>
      </c>
      <c r="I406" s="6">
        <v>84</v>
      </c>
    </row>
    <row r="407" spans="1:9" x14ac:dyDescent="0.35">
      <c r="A407" s="2">
        <v>308595</v>
      </c>
      <c r="B407" s="3" t="s">
        <v>425</v>
      </c>
      <c r="C407" s="2" t="s">
        <v>6</v>
      </c>
      <c r="D407" s="4" t="s">
        <v>26</v>
      </c>
      <c r="E407" s="5" t="s">
        <v>17</v>
      </c>
      <c r="F407" s="6">
        <f>SUMIF('MS SAP Dump'!$F$2:$F$603,$A407,'MS SAP Dump'!$D$2:$D$603)</f>
        <v>24.5</v>
      </c>
      <c r="G407" s="6">
        <v>47</v>
      </c>
      <c r="H407" s="6">
        <f>SUMIF('HSD SAP Dump'!$F$2:$F$602,$A407,'HSD SAP Dump'!$D$2:$D$602)</f>
        <v>67.5</v>
      </c>
      <c r="I407" s="6">
        <v>47</v>
      </c>
    </row>
    <row r="408" spans="1:9" x14ac:dyDescent="0.35">
      <c r="A408" s="2">
        <v>308603</v>
      </c>
      <c r="B408" s="3" t="s">
        <v>426</v>
      </c>
      <c r="C408" s="2" t="s">
        <v>6</v>
      </c>
      <c r="D408" s="4" t="s">
        <v>19</v>
      </c>
      <c r="E408" s="5" t="s">
        <v>17</v>
      </c>
      <c r="F408" s="6">
        <f>SUMIF('MS SAP Dump'!$F$2:$F$603,$A408,'MS SAP Dump'!$D$2:$D$603)</f>
        <v>56</v>
      </c>
      <c r="G408" s="6">
        <v>142.5</v>
      </c>
      <c r="H408" s="6">
        <f>SUMIF('HSD SAP Dump'!$F$2:$F$602,$A408,'HSD SAP Dump'!$D$2:$D$602)</f>
        <v>76</v>
      </c>
      <c r="I408" s="6">
        <v>142.5</v>
      </c>
    </row>
    <row r="409" spans="1:9" x14ac:dyDescent="0.35">
      <c r="A409" s="2">
        <v>308905</v>
      </c>
      <c r="B409" s="3" t="s">
        <v>427</v>
      </c>
      <c r="C409" s="2" t="s">
        <v>6</v>
      </c>
      <c r="D409" s="4" t="s">
        <v>47</v>
      </c>
      <c r="E409" s="5" t="s">
        <v>8</v>
      </c>
      <c r="F409" s="6">
        <f>SUMIF('MS SAP Dump'!$F$2:$F$603,$A409,'MS SAP Dump'!$D$2:$D$603)</f>
        <v>24.5</v>
      </c>
      <c r="G409" s="6">
        <v>60</v>
      </c>
      <c r="H409" s="6">
        <f>SUMIF('HSD SAP Dump'!$F$2:$F$602,$A409,'HSD SAP Dump'!$D$2:$D$602)</f>
        <v>67.5</v>
      </c>
      <c r="I409" s="6">
        <v>60</v>
      </c>
    </row>
    <row r="410" spans="1:9" x14ac:dyDescent="0.35">
      <c r="A410" s="2">
        <v>309051</v>
      </c>
      <c r="B410" s="3" t="s">
        <v>428</v>
      </c>
      <c r="C410" s="2" t="s">
        <v>6</v>
      </c>
      <c r="D410" s="4" t="s">
        <v>39</v>
      </c>
      <c r="E410" s="5" t="s">
        <v>40</v>
      </c>
      <c r="F410" s="6">
        <f>SUMIF('MS SAP Dump'!$F$2:$F$603,$A410,'MS SAP Dump'!$D$2:$D$603)</f>
        <v>38.5</v>
      </c>
      <c r="G410" s="6">
        <v>115.5</v>
      </c>
      <c r="H410" s="6">
        <f>SUMIF('HSD SAP Dump'!$F$2:$F$602,$A410,'HSD SAP Dump'!$D$2:$D$602)</f>
        <v>143.5</v>
      </c>
      <c r="I410" s="6">
        <v>115.5</v>
      </c>
    </row>
    <row r="411" spans="1:9" x14ac:dyDescent="0.35">
      <c r="A411" s="2">
        <v>310993</v>
      </c>
      <c r="B411" s="3" t="s">
        <v>429</v>
      </c>
      <c r="C411" s="2" t="s">
        <v>6</v>
      </c>
      <c r="D411" s="4" t="s">
        <v>39</v>
      </c>
      <c r="E411" s="5" t="s">
        <v>40</v>
      </c>
      <c r="F411" s="6">
        <f>SUMIF('MS SAP Dump'!$F$2:$F$603,$A411,'MS SAP Dump'!$D$2:$D$603)</f>
        <v>42</v>
      </c>
      <c r="G411" s="6">
        <v>0</v>
      </c>
      <c r="H411" s="6">
        <f>SUMIF('HSD SAP Dump'!$F$2:$F$602,$A411,'HSD SAP Dump'!$D$2:$D$602)</f>
        <v>56</v>
      </c>
      <c r="I411" s="6">
        <v>0</v>
      </c>
    </row>
    <row r="412" spans="1:9" x14ac:dyDescent="0.35">
      <c r="A412" s="2">
        <v>311268</v>
      </c>
      <c r="B412" s="3" t="s">
        <v>430</v>
      </c>
      <c r="C412" s="2" t="s">
        <v>6</v>
      </c>
      <c r="D412" s="4" t="s">
        <v>52</v>
      </c>
      <c r="E412" s="5" t="s">
        <v>8</v>
      </c>
      <c r="F412" s="6">
        <f>SUMIF('MS SAP Dump'!$F$2:$F$603,$A412,'MS SAP Dump'!$D$2:$D$603)</f>
        <v>3</v>
      </c>
      <c r="G412" s="6">
        <v>39</v>
      </c>
      <c r="H412" s="6">
        <f>SUMIF('HSD SAP Dump'!$F$2:$F$602,$A412,'HSD SAP Dump'!$D$2:$D$602)</f>
        <v>9</v>
      </c>
      <c r="I412" s="6">
        <v>39</v>
      </c>
    </row>
    <row r="413" spans="1:9" x14ac:dyDescent="0.35">
      <c r="A413" s="2">
        <v>311309</v>
      </c>
      <c r="B413" s="3" t="s">
        <v>431</v>
      </c>
      <c r="C413" s="2" t="s">
        <v>6</v>
      </c>
      <c r="D413" s="4" t="s">
        <v>39</v>
      </c>
      <c r="E413" s="5" t="s">
        <v>40</v>
      </c>
      <c r="F413" s="6">
        <f>SUMIF('MS SAP Dump'!$F$2:$F$603,$A413,'MS SAP Dump'!$D$2:$D$603)</f>
        <v>71.5</v>
      </c>
      <c r="G413" s="6">
        <v>70</v>
      </c>
      <c r="H413" s="6">
        <f>SUMIF('HSD SAP Dump'!$F$2:$F$602,$A413,'HSD SAP Dump'!$D$2:$D$602)</f>
        <v>144.5</v>
      </c>
      <c r="I413" s="6">
        <v>70</v>
      </c>
    </row>
    <row r="414" spans="1:9" x14ac:dyDescent="0.35">
      <c r="A414" s="2">
        <v>311568</v>
      </c>
      <c r="B414" s="3" t="s">
        <v>432</v>
      </c>
      <c r="C414" s="2" t="s">
        <v>6</v>
      </c>
      <c r="D414" s="4" t="s">
        <v>52</v>
      </c>
      <c r="E414" s="5" t="s">
        <v>8</v>
      </c>
      <c r="F414" s="6">
        <f>SUMIF('MS SAP Dump'!$F$2:$F$603,$A414,'MS SAP Dump'!$D$2:$D$603)</f>
        <v>0</v>
      </c>
      <c r="G414" s="6">
        <v>24</v>
      </c>
      <c r="H414" s="6">
        <f>SUMIF('HSD SAP Dump'!$F$2:$F$602,$A414,'HSD SAP Dump'!$D$2:$D$602)</f>
        <v>0</v>
      </c>
      <c r="I414" s="6">
        <v>24</v>
      </c>
    </row>
    <row r="415" spans="1:9" x14ac:dyDescent="0.35">
      <c r="A415" s="2">
        <v>311572</v>
      </c>
      <c r="B415" s="3" t="s">
        <v>433</v>
      </c>
      <c r="C415" s="2" t="s">
        <v>6</v>
      </c>
      <c r="D415" s="4" t="s">
        <v>16</v>
      </c>
      <c r="E415" s="5" t="s">
        <v>17</v>
      </c>
      <c r="F415" s="6">
        <f>SUMIF('MS SAP Dump'!$F$2:$F$603,$A415,'MS SAP Dump'!$D$2:$D$603)</f>
        <v>67</v>
      </c>
      <c r="G415" s="6">
        <v>292</v>
      </c>
      <c r="H415" s="6">
        <f>SUMIF('HSD SAP Dump'!$F$2:$F$602,$A415,'HSD SAP Dump'!$D$2:$D$602)</f>
        <v>333</v>
      </c>
      <c r="I415" s="6">
        <v>292</v>
      </c>
    </row>
    <row r="416" spans="1:9" x14ac:dyDescent="0.35">
      <c r="A416" s="2">
        <v>311580</v>
      </c>
      <c r="B416" s="3" t="s">
        <v>434</v>
      </c>
      <c r="C416" s="2" t="s">
        <v>6</v>
      </c>
      <c r="D416" s="4" t="s">
        <v>16</v>
      </c>
      <c r="E416" s="5" t="s">
        <v>17</v>
      </c>
      <c r="F416" s="6">
        <f>SUMIF('MS SAP Dump'!$F$2:$F$603,$A416,'MS SAP Dump'!$D$2:$D$603)</f>
        <v>42</v>
      </c>
      <c r="G416" s="6">
        <v>103</v>
      </c>
      <c r="H416" s="6">
        <f>SUMIF('HSD SAP Dump'!$F$2:$F$602,$A416,'HSD SAP Dump'!$D$2:$D$602)</f>
        <v>78</v>
      </c>
      <c r="I416" s="6">
        <v>103</v>
      </c>
    </row>
    <row r="417" spans="1:9" x14ac:dyDescent="0.35">
      <c r="A417" s="2">
        <v>312274</v>
      </c>
      <c r="B417" s="3" t="s">
        <v>435</v>
      </c>
      <c r="C417" s="2" t="s">
        <v>6</v>
      </c>
      <c r="D417" s="4" t="s">
        <v>19</v>
      </c>
      <c r="E417" s="5" t="s">
        <v>17</v>
      </c>
      <c r="F417" s="6">
        <f>SUMIF('MS SAP Dump'!$F$2:$F$603,$A417,'MS SAP Dump'!$D$2:$D$603)</f>
        <v>26.5</v>
      </c>
      <c r="G417" s="6">
        <v>61.5</v>
      </c>
      <c r="H417" s="6">
        <f>SUMIF('HSD SAP Dump'!$F$2:$F$602,$A417,'HSD SAP Dump'!$D$2:$D$602)</f>
        <v>41.5</v>
      </c>
      <c r="I417" s="6">
        <v>61.5</v>
      </c>
    </row>
    <row r="418" spans="1:9" x14ac:dyDescent="0.35">
      <c r="A418" s="2">
        <v>312338</v>
      </c>
      <c r="B418" s="3" t="s">
        <v>436</v>
      </c>
      <c r="C418" s="2" t="s">
        <v>6</v>
      </c>
      <c r="D418" s="4" t="s">
        <v>19</v>
      </c>
      <c r="E418" s="5" t="s">
        <v>17</v>
      </c>
      <c r="F418" s="6">
        <f>SUMIF('MS SAP Dump'!$F$2:$F$603,$A418,'MS SAP Dump'!$D$2:$D$603)</f>
        <v>9</v>
      </c>
      <c r="G418" s="6">
        <v>24</v>
      </c>
      <c r="H418" s="6">
        <f>SUMIF('HSD SAP Dump'!$F$2:$F$602,$A418,'HSD SAP Dump'!$D$2:$D$602)</f>
        <v>27</v>
      </c>
      <c r="I418" s="6">
        <v>24</v>
      </c>
    </row>
    <row r="419" spans="1:9" x14ac:dyDescent="0.35">
      <c r="A419" s="2">
        <v>312681</v>
      </c>
      <c r="B419" s="3" t="s">
        <v>437</v>
      </c>
      <c r="C419" s="2" t="s">
        <v>6</v>
      </c>
      <c r="D419" s="4" t="s">
        <v>12</v>
      </c>
      <c r="E419" s="5" t="s">
        <v>8</v>
      </c>
      <c r="F419" s="6">
        <f>SUMIF('MS SAP Dump'!$F$2:$F$603,$A419,'MS SAP Dump'!$D$2:$D$603)</f>
        <v>204</v>
      </c>
      <c r="G419" s="6">
        <v>222</v>
      </c>
      <c r="H419" s="6">
        <f>SUMIF('HSD SAP Dump'!$F$2:$F$602,$A419,'HSD SAP Dump'!$D$2:$D$602)</f>
        <v>324</v>
      </c>
      <c r="I419" s="6">
        <v>222</v>
      </c>
    </row>
    <row r="420" spans="1:9" x14ac:dyDescent="0.35">
      <c r="A420" s="2">
        <v>312828</v>
      </c>
      <c r="B420" s="3" t="s">
        <v>438</v>
      </c>
      <c r="C420" s="2" t="s">
        <v>6</v>
      </c>
      <c r="D420" s="4" t="s">
        <v>10</v>
      </c>
      <c r="E420" s="5" t="s">
        <v>8</v>
      </c>
      <c r="F420" s="6">
        <f>SUMIF('MS SAP Dump'!$F$2:$F$603,$A420,'MS SAP Dump'!$D$2:$D$603)</f>
        <v>109.5</v>
      </c>
      <c r="G420" s="6">
        <v>42</v>
      </c>
      <c r="H420" s="6">
        <f>SUMIF('HSD SAP Dump'!$F$2:$F$602,$A420,'HSD SAP Dump'!$D$2:$D$602)</f>
        <v>30.5</v>
      </c>
      <c r="I420" s="6">
        <v>42</v>
      </c>
    </row>
    <row r="421" spans="1:9" x14ac:dyDescent="0.35">
      <c r="A421" s="2">
        <v>313338</v>
      </c>
      <c r="B421" s="3" t="s">
        <v>439</v>
      </c>
      <c r="C421" s="2" t="s">
        <v>6</v>
      </c>
      <c r="D421" s="4" t="s">
        <v>47</v>
      </c>
      <c r="E421" s="5" t="s">
        <v>8</v>
      </c>
      <c r="F421" s="6">
        <f>SUMIF('MS SAP Dump'!$F$2:$F$603,$A421,'MS SAP Dump'!$D$2:$D$603)</f>
        <v>30</v>
      </c>
      <c r="G421" s="6">
        <v>132</v>
      </c>
      <c r="H421" s="6">
        <f>SUMIF('HSD SAP Dump'!$F$2:$F$602,$A421,'HSD SAP Dump'!$D$2:$D$602)</f>
        <v>174</v>
      </c>
      <c r="I421" s="6">
        <v>132</v>
      </c>
    </row>
    <row r="422" spans="1:9" x14ac:dyDescent="0.35">
      <c r="A422" s="2">
        <v>313960</v>
      </c>
      <c r="B422" s="3" t="s">
        <v>440</v>
      </c>
      <c r="C422" s="2" t="s">
        <v>6</v>
      </c>
      <c r="D422" s="4" t="s">
        <v>47</v>
      </c>
      <c r="E422" s="5" t="s">
        <v>8</v>
      </c>
      <c r="F422" s="6">
        <f>SUMIF('MS SAP Dump'!$F$2:$F$603,$A422,'MS SAP Dump'!$D$2:$D$603)</f>
        <v>3</v>
      </c>
      <c r="G422" s="6">
        <v>36</v>
      </c>
      <c r="H422" s="6">
        <f>SUMIF('HSD SAP Dump'!$F$2:$F$602,$A422,'HSD SAP Dump'!$D$2:$D$602)</f>
        <v>21</v>
      </c>
      <c r="I422" s="6">
        <v>36</v>
      </c>
    </row>
    <row r="423" spans="1:9" x14ac:dyDescent="0.35">
      <c r="A423" s="2">
        <v>315103</v>
      </c>
      <c r="B423" s="3" t="s">
        <v>441</v>
      </c>
      <c r="C423" s="2" t="s">
        <v>6</v>
      </c>
      <c r="D423" s="4" t="s">
        <v>47</v>
      </c>
      <c r="E423" s="5" t="s">
        <v>8</v>
      </c>
      <c r="F423" s="6">
        <f>SUMIF('MS SAP Dump'!$F$2:$F$603,$A423,'MS SAP Dump'!$D$2:$D$603)</f>
        <v>16.5</v>
      </c>
      <c r="G423" s="6">
        <v>54</v>
      </c>
      <c r="H423" s="6">
        <f>SUMIF('HSD SAP Dump'!$F$2:$F$602,$A423,'HSD SAP Dump'!$D$2:$D$602)</f>
        <v>81.5</v>
      </c>
      <c r="I423" s="6">
        <v>54</v>
      </c>
    </row>
    <row r="424" spans="1:9" x14ac:dyDescent="0.35">
      <c r="A424" s="2">
        <v>315209</v>
      </c>
      <c r="B424" s="3" t="s">
        <v>442</v>
      </c>
      <c r="C424" s="2" t="s">
        <v>6</v>
      </c>
      <c r="D424" s="4" t="s">
        <v>47</v>
      </c>
      <c r="E424" s="5" t="s">
        <v>8</v>
      </c>
      <c r="F424" s="6">
        <f>SUMIF('MS SAP Dump'!$F$2:$F$603,$A424,'MS SAP Dump'!$D$2:$D$603)</f>
        <v>75.5</v>
      </c>
      <c r="G424" s="6">
        <v>26</v>
      </c>
      <c r="H424" s="6">
        <f>SUMIF('HSD SAP Dump'!$F$2:$F$602,$A424,'HSD SAP Dump'!$D$2:$D$602)</f>
        <v>26.5</v>
      </c>
      <c r="I424" s="6">
        <v>26</v>
      </c>
    </row>
    <row r="425" spans="1:9" x14ac:dyDescent="0.35">
      <c r="A425" s="2">
        <v>316807</v>
      </c>
      <c r="B425" s="3" t="s">
        <v>443</v>
      </c>
      <c r="C425" s="2" t="s">
        <v>6</v>
      </c>
      <c r="D425" s="4" t="s">
        <v>14</v>
      </c>
      <c r="E425" s="5" t="s">
        <v>8</v>
      </c>
      <c r="F425" s="6">
        <f>SUMIF('MS SAP Dump'!$F$2:$F$603,$A425,'MS SAP Dump'!$D$2:$D$603)</f>
        <v>6</v>
      </c>
      <c r="G425" s="6">
        <v>52</v>
      </c>
      <c r="H425" s="6">
        <f>SUMIF('HSD SAP Dump'!$F$2:$F$602,$A425,'HSD SAP Dump'!$D$2:$D$602)</f>
        <v>18</v>
      </c>
      <c r="I425" s="6">
        <v>52</v>
      </c>
    </row>
    <row r="426" spans="1:9" x14ac:dyDescent="0.35">
      <c r="A426" s="2">
        <v>319406</v>
      </c>
      <c r="B426" s="3" t="s">
        <v>444</v>
      </c>
      <c r="C426" s="2" t="s">
        <v>6</v>
      </c>
      <c r="D426" s="4" t="s">
        <v>52</v>
      </c>
      <c r="E426" s="5" t="s">
        <v>8</v>
      </c>
      <c r="F426" s="6">
        <f>SUMIF('MS SAP Dump'!$F$2:$F$603,$A426,'MS SAP Dump'!$D$2:$D$603)</f>
        <v>24</v>
      </c>
      <c r="G426" s="6">
        <v>28</v>
      </c>
      <c r="H426" s="6">
        <f>SUMIF('HSD SAP Dump'!$F$2:$F$602,$A426,'HSD SAP Dump'!$D$2:$D$602)</f>
        <v>24</v>
      </c>
      <c r="I426" s="6">
        <v>28</v>
      </c>
    </row>
    <row r="427" spans="1:9" x14ac:dyDescent="0.35">
      <c r="A427" s="2">
        <v>319411</v>
      </c>
      <c r="B427" s="3" t="s">
        <v>445</v>
      </c>
      <c r="C427" s="2" t="s">
        <v>6</v>
      </c>
      <c r="D427" s="4" t="s">
        <v>14</v>
      </c>
      <c r="E427" s="5" t="s">
        <v>8</v>
      </c>
      <c r="F427" s="6">
        <f>SUMIF('MS SAP Dump'!$F$2:$F$603,$A427,'MS SAP Dump'!$D$2:$D$603)</f>
        <v>33</v>
      </c>
      <c r="G427" s="6">
        <v>72</v>
      </c>
      <c r="H427" s="6">
        <f>SUMIF('HSD SAP Dump'!$F$2:$F$602,$A427,'HSD SAP Dump'!$D$2:$D$602)</f>
        <v>55</v>
      </c>
      <c r="I427" s="6">
        <v>72</v>
      </c>
    </row>
    <row r="428" spans="1:9" x14ac:dyDescent="0.35">
      <c r="A428" s="2">
        <v>320001</v>
      </c>
      <c r="B428" s="3" t="s">
        <v>446</v>
      </c>
      <c r="C428" s="2" t="s">
        <v>6</v>
      </c>
      <c r="D428" s="4" t="s">
        <v>16</v>
      </c>
      <c r="E428" s="5" t="s">
        <v>17</v>
      </c>
      <c r="F428" s="6">
        <f>SUMIF('MS SAP Dump'!$F$2:$F$603,$A428,'MS SAP Dump'!$D$2:$D$603)</f>
        <v>15</v>
      </c>
      <c r="G428" s="6">
        <v>34</v>
      </c>
      <c r="H428" s="6">
        <f>SUMIF('HSD SAP Dump'!$F$2:$F$602,$A428,'HSD SAP Dump'!$D$2:$D$602)</f>
        <v>21</v>
      </c>
      <c r="I428" s="6">
        <v>34</v>
      </c>
    </row>
    <row r="429" spans="1:9" x14ac:dyDescent="0.35">
      <c r="A429" s="2">
        <v>322509</v>
      </c>
      <c r="B429" s="3" t="s">
        <v>447</v>
      </c>
      <c r="C429" s="2" t="s">
        <v>6</v>
      </c>
      <c r="D429" s="4" t="s">
        <v>47</v>
      </c>
      <c r="E429" s="5" t="s">
        <v>8</v>
      </c>
      <c r="F429" s="6">
        <f>SUMIF('MS SAP Dump'!$F$2:$F$603,$A429,'MS SAP Dump'!$D$2:$D$603)</f>
        <v>0</v>
      </c>
      <c r="G429" s="6">
        <v>0</v>
      </c>
      <c r="H429" s="6">
        <f>SUMIF('HSD SAP Dump'!$F$2:$F$602,$A429,'HSD SAP Dump'!$D$2:$D$602)</f>
        <v>0</v>
      </c>
      <c r="I429" s="6">
        <v>0</v>
      </c>
    </row>
    <row r="430" spans="1:9" x14ac:dyDescent="0.35">
      <c r="A430" s="2">
        <v>323139</v>
      </c>
      <c r="B430" s="3" t="s">
        <v>448</v>
      </c>
      <c r="C430" s="2" t="s">
        <v>6</v>
      </c>
      <c r="D430" s="4" t="s">
        <v>52</v>
      </c>
      <c r="E430" s="5" t="s">
        <v>8</v>
      </c>
      <c r="F430" s="6">
        <f>SUMIF('MS SAP Dump'!$F$2:$F$603,$A430,'MS SAP Dump'!$D$2:$D$603)</f>
        <v>0</v>
      </c>
      <c r="G430" s="6">
        <v>0</v>
      </c>
      <c r="H430" s="6">
        <f>SUMIF('HSD SAP Dump'!$F$2:$F$602,$A430,'HSD SAP Dump'!$D$2:$D$602)</f>
        <v>0</v>
      </c>
      <c r="I430" s="6">
        <v>0</v>
      </c>
    </row>
    <row r="431" spans="1:9" x14ac:dyDescent="0.35">
      <c r="A431" s="2">
        <v>323570</v>
      </c>
      <c r="B431" s="3" t="s">
        <v>449</v>
      </c>
      <c r="C431" s="2" t="s">
        <v>6</v>
      </c>
      <c r="D431" s="4" t="s">
        <v>39</v>
      </c>
      <c r="E431" s="5" t="s">
        <v>40</v>
      </c>
      <c r="F431" s="6">
        <f>SUMIF('MS SAP Dump'!$F$2:$F$603,$A431,'MS SAP Dump'!$D$2:$D$603)</f>
        <v>0</v>
      </c>
      <c r="G431" s="6">
        <v>0</v>
      </c>
      <c r="H431" s="6">
        <f>SUMIF('HSD SAP Dump'!$F$2:$F$602,$A431,'HSD SAP Dump'!$D$2:$D$602)</f>
        <v>0</v>
      </c>
      <c r="I431" s="6">
        <v>0</v>
      </c>
    </row>
    <row r="432" spans="1:9" x14ac:dyDescent="0.35">
      <c r="A432" s="2">
        <v>323650</v>
      </c>
      <c r="B432" s="3" t="s">
        <v>450</v>
      </c>
      <c r="C432" s="2" t="s">
        <v>6</v>
      </c>
      <c r="D432" s="4" t="s">
        <v>26</v>
      </c>
      <c r="E432" s="5" t="s">
        <v>17</v>
      </c>
      <c r="F432" s="6">
        <f>SUMIF('MS SAP Dump'!$F$2:$F$603,$A432,'MS SAP Dump'!$D$2:$D$603)</f>
        <v>26.5</v>
      </c>
      <c r="G432" s="6">
        <v>53</v>
      </c>
      <c r="H432" s="6">
        <f>SUMIF('HSD SAP Dump'!$F$2:$F$602,$A432,'HSD SAP Dump'!$D$2:$D$602)</f>
        <v>93.5</v>
      </c>
      <c r="I432" s="6">
        <v>53</v>
      </c>
    </row>
    <row r="433" spans="1:9" x14ac:dyDescent="0.35">
      <c r="A433" s="2">
        <v>324304</v>
      </c>
      <c r="B433" s="3" t="s">
        <v>451</v>
      </c>
      <c r="C433" s="2" t="s">
        <v>6</v>
      </c>
      <c r="D433" s="4" t="s">
        <v>44</v>
      </c>
      <c r="E433" s="5" t="s">
        <v>40</v>
      </c>
      <c r="F433" s="6">
        <f>SUMIF('MS SAP Dump'!$F$2:$F$603,$A433,'MS SAP Dump'!$D$2:$D$603)</f>
        <v>49</v>
      </c>
      <c r="G433" s="6">
        <v>108.5</v>
      </c>
      <c r="H433" s="6">
        <f>SUMIF('HSD SAP Dump'!$F$2:$F$602,$A433,'HSD SAP Dump'!$D$2:$D$602)</f>
        <v>133</v>
      </c>
      <c r="I433" s="6">
        <v>108.5</v>
      </c>
    </row>
    <row r="434" spans="1:9" x14ac:dyDescent="0.35">
      <c r="A434" s="2">
        <v>325050</v>
      </c>
      <c r="B434" s="3" t="s">
        <v>452</v>
      </c>
      <c r="C434" s="2" t="s">
        <v>6</v>
      </c>
      <c r="D434" s="4" t="s">
        <v>10</v>
      </c>
      <c r="E434" s="5" t="s">
        <v>8</v>
      </c>
      <c r="F434" s="6">
        <f>SUMIF('MS SAP Dump'!$F$2:$F$603,$A434,'MS SAP Dump'!$D$2:$D$603)</f>
        <v>322</v>
      </c>
      <c r="G434" s="6">
        <v>265</v>
      </c>
      <c r="H434" s="6">
        <f>SUMIF('HSD SAP Dump'!$F$2:$F$602,$A434,'HSD SAP Dump'!$D$2:$D$602)</f>
        <v>316</v>
      </c>
      <c r="I434" s="6">
        <v>265</v>
      </c>
    </row>
    <row r="435" spans="1:9" x14ac:dyDescent="0.35">
      <c r="A435" s="2">
        <v>325054</v>
      </c>
      <c r="B435" s="3" t="s">
        <v>453</v>
      </c>
      <c r="C435" s="2" t="s">
        <v>6</v>
      </c>
      <c r="D435" s="4" t="s">
        <v>7</v>
      </c>
      <c r="E435" s="5" t="s">
        <v>8</v>
      </c>
      <c r="F435" s="6">
        <f>SUMIF('MS SAP Dump'!$F$2:$F$603,$A435,'MS SAP Dump'!$D$2:$D$603)</f>
        <v>25.5</v>
      </c>
      <c r="G435" s="6">
        <v>35</v>
      </c>
      <c r="H435" s="6">
        <f>SUMIF('HSD SAP Dump'!$F$2:$F$602,$A435,'HSD SAP Dump'!$D$2:$D$602)</f>
        <v>50.5</v>
      </c>
      <c r="I435" s="6">
        <v>35</v>
      </c>
    </row>
    <row r="436" spans="1:9" x14ac:dyDescent="0.35">
      <c r="A436" s="2">
        <v>325871</v>
      </c>
      <c r="B436" s="3" t="s">
        <v>454</v>
      </c>
      <c r="C436" s="2" t="s">
        <v>6</v>
      </c>
      <c r="D436" s="4" t="s">
        <v>47</v>
      </c>
      <c r="E436" s="5" t="s">
        <v>8</v>
      </c>
      <c r="F436" s="6">
        <f>SUMIF('MS SAP Dump'!$F$2:$F$603,$A436,'MS SAP Dump'!$D$2:$D$603)</f>
        <v>40</v>
      </c>
      <c r="G436" s="6">
        <v>55</v>
      </c>
      <c r="H436" s="6">
        <f>SUMIF('HSD SAP Dump'!$F$2:$F$602,$A436,'HSD SAP Dump'!$D$2:$D$602)</f>
        <v>34</v>
      </c>
      <c r="I436" s="6">
        <v>55</v>
      </c>
    </row>
    <row r="437" spans="1:9" x14ac:dyDescent="0.35">
      <c r="A437" s="2">
        <v>325976</v>
      </c>
      <c r="B437" s="3" t="s">
        <v>455</v>
      </c>
      <c r="C437" s="2" t="s">
        <v>6</v>
      </c>
      <c r="D437" s="4" t="s">
        <v>7</v>
      </c>
      <c r="E437" s="5" t="s">
        <v>8</v>
      </c>
      <c r="F437" s="6">
        <f>SUMIF('MS SAP Dump'!$F$2:$F$603,$A437,'MS SAP Dump'!$D$2:$D$603)</f>
        <v>42</v>
      </c>
      <c r="G437" s="6">
        <v>51</v>
      </c>
      <c r="H437" s="6">
        <f>SUMIF('HSD SAP Dump'!$F$2:$F$602,$A437,'HSD SAP Dump'!$D$2:$D$602)</f>
        <v>54</v>
      </c>
      <c r="I437" s="6">
        <v>51</v>
      </c>
    </row>
    <row r="438" spans="1:9" x14ac:dyDescent="0.35">
      <c r="A438" s="2">
        <v>326616</v>
      </c>
      <c r="B438" s="3" t="s">
        <v>456</v>
      </c>
      <c r="C438" s="2" t="s">
        <v>6</v>
      </c>
      <c r="D438" s="4" t="s">
        <v>7</v>
      </c>
      <c r="E438" s="5" t="s">
        <v>8</v>
      </c>
      <c r="F438" s="6">
        <f>SUMIF('MS SAP Dump'!$F$2:$F$603,$A438,'MS SAP Dump'!$D$2:$D$603)</f>
        <v>26</v>
      </c>
      <c r="G438" s="6">
        <v>51</v>
      </c>
      <c r="H438" s="6">
        <f>SUMIF('HSD SAP Dump'!$F$2:$F$602,$A438,'HSD SAP Dump'!$D$2:$D$602)</f>
        <v>26</v>
      </c>
      <c r="I438" s="6">
        <v>51</v>
      </c>
    </row>
    <row r="439" spans="1:9" x14ac:dyDescent="0.35">
      <c r="A439" s="2">
        <v>326627</v>
      </c>
      <c r="B439" s="3" t="s">
        <v>457</v>
      </c>
      <c r="C439" s="2" t="s">
        <v>6</v>
      </c>
      <c r="D439" s="4" t="s">
        <v>7</v>
      </c>
      <c r="E439" s="5" t="s">
        <v>8</v>
      </c>
      <c r="F439" s="6">
        <f>SUMIF('MS SAP Dump'!$F$2:$F$603,$A439,'MS SAP Dump'!$D$2:$D$603)</f>
        <v>44.5</v>
      </c>
      <c r="G439" s="6">
        <v>77</v>
      </c>
      <c r="H439" s="6">
        <f>SUMIF('HSD SAP Dump'!$F$2:$F$602,$A439,'HSD SAP Dump'!$D$2:$D$602)</f>
        <v>65.5</v>
      </c>
      <c r="I439" s="6">
        <v>77</v>
      </c>
    </row>
    <row r="440" spans="1:9" x14ac:dyDescent="0.35">
      <c r="A440" s="2">
        <v>326650</v>
      </c>
      <c r="B440" s="3" t="s">
        <v>458</v>
      </c>
      <c r="C440" s="2" t="s">
        <v>6</v>
      </c>
      <c r="D440" s="4" t="s">
        <v>44</v>
      </c>
      <c r="E440" s="5" t="s">
        <v>40</v>
      </c>
      <c r="F440" s="6">
        <f>SUMIF('MS SAP Dump'!$F$2:$F$603,$A440,'MS SAP Dump'!$D$2:$D$603)</f>
        <v>24.5</v>
      </c>
      <c r="G440" s="6">
        <v>39</v>
      </c>
      <c r="H440" s="6">
        <f>SUMIF('HSD SAP Dump'!$F$2:$F$602,$A440,'HSD SAP Dump'!$D$2:$D$602)</f>
        <v>117.5</v>
      </c>
      <c r="I440" s="6">
        <v>39</v>
      </c>
    </row>
    <row r="441" spans="1:9" x14ac:dyDescent="0.35">
      <c r="A441" s="2">
        <v>327530</v>
      </c>
      <c r="B441" s="3" t="s">
        <v>459</v>
      </c>
      <c r="C441" s="2" t="s">
        <v>6</v>
      </c>
      <c r="D441" s="4" t="s">
        <v>44</v>
      </c>
      <c r="E441" s="5" t="s">
        <v>40</v>
      </c>
      <c r="F441" s="6">
        <f>SUMIF('MS SAP Dump'!$F$2:$F$603,$A441,'MS SAP Dump'!$D$2:$D$603)</f>
        <v>6</v>
      </c>
      <c r="G441" s="6">
        <v>15</v>
      </c>
      <c r="H441" s="6">
        <f>SUMIF('HSD SAP Dump'!$F$2:$F$602,$A441,'HSD SAP Dump'!$D$2:$D$602)</f>
        <v>32</v>
      </c>
      <c r="I441" s="6">
        <v>15</v>
      </c>
    </row>
    <row r="442" spans="1:9" x14ac:dyDescent="0.35">
      <c r="A442" s="2">
        <v>327553</v>
      </c>
      <c r="B442" s="3" t="s">
        <v>460</v>
      </c>
      <c r="C442" s="2" t="s">
        <v>6</v>
      </c>
      <c r="D442" s="4" t="s">
        <v>7</v>
      </c>
      <c r="E442" s="5" t="s">
        <v>8</v>
      </c>
      <c r="F442" s="6">
        <f>SUMIF('MS SAP Dump'!$F$2:$F$603,$A442,'MS SAP Dump'!$D$2:$D$603)</f>
        <v>29</v>
      </c>
      <c r="G442" s="6">
        <v>39</v>
      </c>
      <c r="H442" s="6">
        <f>SUMIF('HSD SAP Dump'!$F$2:$F$602,$A442,'HSD SAP Dump'!$D$2:$D$602)</f>
        <v>37</v>
      </c>
      <c r="I442" s="6">
        <v>39</v>
      </c>
    </row>
    <row r="443" spans="1:9" x14ac:dyDescent="0.35">
      <c r="A443" s="2">
        <v>327559</v>
      </c>
      <c r="B443" s="3" t="s">
        <v>461</v>
      </c>
      <c r="C443" s="2" t="s">
        <v>6</v>
      </c>
      <c r="D443" s="4" t="s">
        <v>39</v>
      </c>
      <c r="E443" s="5" t="s">
        <v>40</v>
      </c>
      <c r="F443" s="6">
        <f>SUMIF('MS SAP Dump'!$F$2:$F$603,$A443,'MS SAP Dump'!$D$2:$D$603)</f>
        <v>27</v>
      </c>
      <c r="G443" s="6">
        <v>66</v>
      </c>
      <c r="H443" s="6">
        <f>SUMIF('HSD SAP Dump'!$F$2:$F$602,$A443,'HSD SAP Dump'!$D$2:$D$602)</f>
        <v>59</v>
      </c>
      <c r="I443" s="6">
        <v>66</v>
      </c>
    </row>
    <row r="444" spans="1:9" x14ac:dyDescent="0.35">
      <c r="A444" s="2">
        <v>328581</v>
      </c>
      <c r="B444" s="3" t="s">
        <v>462</v>
      </c>
      <c r="C444" s="2" t="s">
        <v>6</v>
      </c>
      <c r="D444" s="4" t="s">
        <v>26</v>
      </c>
      <c r="E444" s="5" t="s">
        <v>17</v>
      </c>
      <c r="F444" s="6">
        <f>SUMIF('MS SAP Dump'!$F$2:$F$603,$A444,'MS SAP Dump'!$D$2:$D$603)</f>
        <v>15</v>
      </c>
      <c r="G444" s="6">
        <v>46</v>
      </c>
      <c r="H444" s="6">
        <f>SUMIF('HSD SAP Dump'!$F$2:$F$602,$A444,'HSD SAP Dump'!$D$2:$D$602)</f>
        <v>39</v>
      </c>
      <c r="I444" s="6">
        <v>46</v>
      </c>
    </row>
    <row r="445" spans="1:9" x14ac:dyDescent="0.35">
      <c r="A445" s="2">
        <v>328609</v>
      </c>
      <c r="B445" s="3" t="s">
        <v>463</v>
      </c>
      <c r="C445" s="2" t="s">
        <v>6</v>
      </c>
      <c r="D445" s="4" t="s">
        <v>44</v>
      </c>
      <c r="E445" s="5" t="s">
        <v>40</v>
      </c>
      <c r="F445" s="6">
        <f>SUMIF('MS SAP Dump'!$F$2:$F$603,$A445,'MS SAP Dump'!$D$2:$D$603)</f>
        <v>27</v>
      </c>
      <c r="G445" s="6">
        <v>57</v>
      </c>
      <c r="H445" s="6">
        <f>SUMIF('HSD SAP Dump'!$F$2:$F$602,$A445,'HSD SAP Dump'!$D$2:$D$602)</f>
        <v>33</v>
      </c>
      <c r="I445" s="6">
        <v>57</v>
      </c>
    </row>
    <row r="446" spans="1:9" x14ac:dyDescent="0.35">
      <c r="A446" s="2">
        <v>328616</v>
      </c>
      <c r="B446" s="3" t="s">
        <v>464</v>
      </c>
      <c r="C446" s="2" t="s">
        <v>6</v>
      </c>
      <c r="D446" s="4" t="s">
        <v>19</v>
      </c>
      <c r="E446" s="5" t="s">
        <v>17</v>
      </c>
      <c r="F446" s="6">
        <f>SUMIF('MS SAP Dump'!$F$2:$F$603,$A446,'MS SAP Dump'!$D$2:$D$603)</f>
        <v>15</v>
      </c>
      <c r="G446" s="6">
        <v>9</v>
      </c>
      <c r="H446" s="6">
        <f>SUMIF('HSD SAP Dump'!$F$2:$F$602,$A446,'HSD SAP Dump'!$D$2:$D$602)</f>
        <v>33</v>
      </c>
      <c r="I446" s="6">
        <v>9</v>
      </c>
    </row>
    <row r="447" spans="1:9" x14ac:dyDescent="0.35">
      <c r="A447" s="2">
        <v>329224</v>
      </c>
      <c r="B447" s="3" t="s">
        <v>465</v>
      </c>
      <c r="C447" s="2" t="s">
        <v>6</v>
      </c>
      <c r="D447" s="4" t="s">
        <v>52</v>
      </c>
      <c r="E447" s="5" t="s">
        <v>8</v>
      </c>
      <c r="F447" s="6">
        <f>SUMIF('MS SAP Dump'!$F$2:$F$603,$A447,'MS SAP Dump'!$D$2:$D$603)</f>
        <v>45</v>
      </c>
      <c r="G447" s="6">
        <v>904</v>
      </c>
      <c r="H447" s="6">
        <f>SUMIF('HSD SAP Dump'!$F$2:$F$602,$A447,'HSD SAP Dump'!$D$2:$D$602)</f>
        <v>1189</v>
      </c>
      <c r="I447" s="6">
        <v>904</v>
      </c>
    </row>
    <row r="448" spans="1:9" x14ac:dyDescent="0.35">
      <c r="A448" s="2">
        <v>331151</v>
      </c>
      <c r="B448" s="3" t="s">
        <v>466</v>
      </c>
      <c r="C448" s="2" t="s">
        <v>6</v>
      </c>
      <c r="D448" s="4" t="s">
        <v>12</v>
      </c>
      <c r="E448" s="5" t="s">
        <v>8</v>
      </c>
      <c r="F448" s="6">
        <f>SUMIF('MS SAP Dump'!$F$2:$F$603,$A448,'MS SAP Dump'!$D$2:$D$603)</f>
        <v>190</v>
      </c>
      <c r="G448" s="6">
        <v>259</v>
      </c>
      <c r="H448" s="6">
        <f>SUMIF('HSD SAP Dump'!$F$2:$F$602,$A448,'HSD SAP Dump'!$D$2:$D$602)</f>
        <v>230</v>
      </c>
      <c r="I448" s="6">
        <v>259</v>
      </c>
    </row>
    <row r="449" spans="1:9" x14ac:dyDescent="0.35">
      <c r="A449" s="2">
        <v>331158</v>
      </c>
      <c r="B449" s="3" t="s">
        <v>467</v>
      </c>
      <c r="C449" s="2" t="s">
        <v>6</v>
      </c>
      <c r="D449" s="4" t="s">
        <v>16</v>
      </c>
      <c r="E449" s="5" t="s">
        <v>17</v>
      </c>
      <c r="F449" s="6">
        <f>SUMIF('MS SAP Dump'!$F$2:$F$603,$A449,'MS SAP Dump'!$D$2:$D$603)</f>
        <v>21</v>
      </c>
      <c r="G449" s="6">
        <v>73</v>
      </c>
      <c r="H449" s="6">
        <f>SUMIF('HSD SAP Dump'!$F$2:$F$602,$A449,'HSD SAP Dump'!$D$2:$D$602)</f>
        <v>63</v>
      </c>
      <c r="I449" s="6">
        <v>73</v>
      </c>
    </row>
    <row r="450" spans="1:9" x14ac:dyDescent="0.35">
      <c r="A450" s="2">
        <v>331184</v>
      </c>
      <c r="B450" s="3" t="s">
        <v>468</v>
      </c>
      <c r="C450" s="2" t="s">
        <v>6</v>
      </c>
      <c r="D450" s="4" t="s">
        <v>39</v>
      </c>
      <c r="E450" s="5" t="s">
        <v>40</v>
      </c>
      <c r="F450" s="6">
        <f>SUMIF('MS SAP Dump'!$F$2:$F$603,$A450,'MS SAP Dump'!$D$2:$D$603)</f>
        <v>24.5</v>
      </c>
      <c r="G450" s="6">
        <v>78</v>
      </c>
      <c r="H450" s="6">
        <f>SUMIF('HSD SAP Dump'!$F$2:$F$602,$A450,'HSD SAP Dump'!$D$2:$D$602)</f>
        <v>59.5</v>
      </c>
      <c r="I450" s="6">
        <v>78</v>
      </c>
    </row>
    <row r="451" spans="1:9" x14ac:dyDescent="0.35">
      <c r="A451" s="2">
        <v>331375</v>
      </c>
      <c r="B451" s="3" t="s">
        <v>469</v>
      </c>
      <c r="C451" s="2" t="s">
        <v>6</v>
      </c>
      <c r="D451" s="4" t="s">
        <v>47</v>
      </c>
      <c r="E451" s="5" t="s">
        <v>8</v>
      </c>
      <c r="F451" s="6">
        <f>SUMIF('MS SAP Dump'!$F$2:$F$603,$A451,'MS SAP Dump'!$D$2:$D$603)</f>
        <v>25</v>
      </c>
      <c r="G451" s="6">
        <v>138</v>
      </c>
      <c r="H451" s="6">
        <f>SUMIF('HSD SAP Dump'!$F$2:$F$602,$A451,'HSD SAP Dump'!$D$2:$D$602)</f>
        <v>143</v>
      </c>
      <c r="I451" s="6">
        <v>138</v>
      </c>
    </row>
    <row r="452" spans="1:9" x14ac:dyDescent="0.35">
      <c r="A452" s="2">
        <v>331447</v>
      </c>
      <c r="B452" s="3" t="s">
        <v>470</v>
      </c>
      <c r="C452" s="2" t="s">
        <v>6</v>
      </c>
      <c r="D452" s="4" t="s">
        <v>10</v>
      </c>
      <c r="E452" s="5" t="s">
        <v>8</v>
      </c>
      <c r="F452" s="6">
        <f>SUMIF('MS SAP Dump'!$F$2:$F$603,$A452,'MS SAP Dump'!$D$2:$D$603)</f>
        <v>0</v>
      </c>
      <c r="G452" s="6">
        <v>57</v>
      </c>
      <c r="H452" s="6">
        <f>SUMIF('HSD SAP Dump'!$F$2:$F$602,$A452,'HSD SAP Dump'!$D$2:$D$602)</f>
        <v>0</v>
      </c>
      <c r="I452" s="6">
        <v>57</v>
      </c>
    </row>
    <row r="453" spans="1:9" x14ac:dyDescent="0.35">
      <c r="A453" s="2">
        <v>331708</v>
      </c>
      <c r="B453" s="3" t="s">
        <v>471</v>
      </c>
      <c r="C453" s="2" t="s">
        <v>6</v>
      </c>
      <c r="D453" s="4" t="s">
        <v>10</v>
      </c>
      <c r="E453" s="5" t="s">
        <v>8</v>
      </c>
      <c r="F453" s="6">
        <f>SUMIF('MS SAP Dump'!$F$2:$F$603,$A453,'MS SAP Dump'!$D$2:$D$603)</f>
        <v>205</v>
      </c>
      <c r="G453" s="6">
        <v>188</v>
      </c>
      <c r="H453" s="6">
        <f>SUMIF('HSD SAP Dump'!$F$2:$F$602,$A453,'HSD SAP Dump'!$D$2:$D$602)</f>
        <v>215</v>
      </c>
      <c r="I453" s="6">
        <v>188</v>
      </c>
    </row>
    <row r="454" spans="1:9" x14ac:dyDescent="0.35">
      <c r="A454" s="2">
        <v>331907</v>
      </c>
      <c r="B454" s="3" t="s">
        <v>472</v>
      </c>
      <c r="C454" s="2" t="s">
        <v>6</v>
      </c>
      <c r="D454" s="4" t="s">
        <v>7</v>
      </c>
      <c r="E454" s="5" t="s">
        <v>8</v>
      </c>
      <c r="F454" s="6">
        <f>SUMIF('MS SAP Dump'!$F$2:$F$603,$A454,'MS SAP Dump'!$D$2:$D$603)</f>
        <v>61</v>
      </c>
      <c r="G454" s="6">
        <v>139.5</v>
      </c>
      <c r="H454" s="6">
        <f>SUMIF('HSD SAP Dump'!$F$2:$F$602,$A454,'HSD SAP Dump'!$D$2:$D$602)</f>
        <v>163</v>
      </c>
      <c r="I454" s="6">
        <v>139.5</v>
      </c>
    </row>
    <row r="455" spans="1:9" x14ac:dyDescent="0.35">
      <c r="A455" s="2">
        <v>332065</v>
      </c>
      <c r="B455" s="3" t="s">
        <v>473</v>
      </c>
      <c r="C455" s="2" t="s">
        <v>6</v>
      </c>
      <c r="D455" s="4" t="s">
        <v>52</v>
      </c>
      <c r="E455" s="5" t="s">
        <v>8</v>
      </c>
      <c r="F455" s="6">
        <f>SUMIF('MS SAP Dump'!$F$2:$F$603,$A455,'MS SAP Dump'!$D$2:$D$603)</f>
        <v>33</v>
      </c>
      <c r="G455" s="6">
        <v>149</v>
      </c>
      <c r="H455" s="6">
        <f>SUMIF('HSD SAP Dump'!$F$2:$F$602,$A455,'HSD SAP Dump'!$D$2:$D$602)</f>
        <v>111</v>
      </c>
      <c r="I455" s="6">
        <v>149</v>
      </c>
    </row>
    <row r="456" spans="1:9" x14ac:dyDescent="0.35">
      <c r="A456" s="2">
        <v>332691</v>
      </c>
      <c r="B456" s="3" t="s">
        <v>474</v>
      </c>
      <c r="C456" s="2" t="s">
        <v>6</v>
      </c>
      <c r="D456" s="4" t="s">
        <v>10</v>
      </c>
      <c r="E456" s="5" t="s">
        <v>8</v>
      </c>
      <c r="F456" s="6">
        <f>SUMIF('MS SAP Dump'!$F$2:$F$603,$A456,'MS SAP Dump'!$D$2:$D$603)</f>
        <v>79</v>
      </c>
      <c r="G456" s="6">
        <v>43</v>
      </c>
      <c r="H456" s="6">
        <f>SUMIF('HSD SAP Dump'!$F$2:$F$602,$A456,'HSD SAP Dump'!$D$2:$D$602)</f>
        <v>57</v>
      </c>
      <c r="I456" s="6">
        <v>43</v>
      </c>
    </row>
    <row r="457" spans="1:9" x14ac:dyDescent="0.35">
      <c r="A457" s="2">
        <v>332702</v>
      </c>
      <c r="B457" s="3" t="s">
        <v>475</v>
      </c>
      <c r="C457" s="2" t="s">
        <v>6</v>
      </c>
      <c r="D457" s="4" t="s">
        <v>16</v>
      </c>
      <c r="E457" s="5" t="s">
        <v>17</v>
      </c>
      <c r="F457" s="6">
        <f>SUMIF('MS SAP Dump'!$F$2:$F$603,$A457,'MS SAP Dump'!$D$2:$D$603)</f>
        <v>55</v>
      </c>
      <c r="G457" s="6">
        <v>92</v>
      </c>
      <c r="H457" s="6">
        <f>SUMIF('HSD SAP Dump'!$F$2:$F$602,$A457,'HSD SAP Dump'!$D$2:$D$602)</f>
        <v>121</v>
      </c>
      <c r="I457" s="6">
        <v>92</v>
      </c>
    </row>
    <row r="458" spans="1:9" x14ac:dyDescent="0.35">
      <c r="A458" s="2">
        <v>332711</v>
      </c>
      <c r="B458" s="3" t="s">
        <v>476</v>
      </c>
      <c r="C458" s="2" t="s">
        <v>6</v>
      </c>
      <c r="D458" s="4" t="s">
        <v>39</v>
      </c>
      <c r="E458" s="5" t="s">
        <v>40</v>
      </c>
      <c r="F458" s="6">
        <f>SUMIF('MS SAP Dump'!$F$2:$F$603,$A458,'MS SAP Dump'!$D$2:$D$603)</f>
        <v>9</v>
      </c>
      <c r="G458" s="6">
        <v>8</v>
      </c>
      <c r="H458" s="6">
        <f>SUMIF('HSD SAP Dump'!$F$2:$F$602,$A458,'HSD SAP Dump'!$D$2:$D$602)</f>
        <v>27</v>
      </c>
      <c r="I458" s="6">
        <v>8</v>
      </c>
    </row>
    <row r="459" spans="1:9" x14ac:dyDescent="0.35">
      <c r="A459" s="2">
        <v>332752</v>
      </c>
      <c r="B459" s="3" t="s">
        <v>477</v>
      </c>
      <c r="C459" s="2" t="s">
        <v>6</v>
      </c>
      <c r="D459" s="4" t="s">
        <v>19</v>
      </c>
      <c r="E459" s="5" t="s">
        <v>17</v>
      </c>
      <c r="F459" s="6">
        <f>SUMIF('MS SAP Dump'!$F$2:$F$603,$A459,'MS SAP Dump'!$D$2:$D$603)</f>
        <v>6</v>
      </c>
      <c r="G459" s="6">
        <v>27</v>
      </c>
      <c r="H459" s="6">
        <f>SUMIF('HSD SAP Dump'!$F$2:$F$602,$A459,'HSD SAP Dump'!$D$2:$D$602)</f>
        <v>18</v>
      </c>
      <c r="I459" s="6">
        <v>27</v>
      </c>
    </row>
    <row r="460" spans="1:9" x14ac:dyDescent="0.35">
      <c r="A460" s="2">
        <v>332796</v>
      </c>
      <c r="B460" s="3" t="s">
        <v>478</v>
      </c>
      <c r="C460" s="2" t="s">
        <v>6</v>
      </c>
      <c r="D460" s="4" t="s">
        <v>14</v>
      </c>
      <c r="E460" s="5" t="s">
        <v>8</v>
      </c>
      <c r="F460" s="6">
        <f>SUMIF('MS SAP Dump'!$F$2:$F$603,$A460,'MS SAP Dump'!$D$2:$D$603)</f>
        <v>26</v>
      </c>
      <c r="G460" s="6">
        <v>31.5</v>
      </c>
      <c r="H460" s="6">
        <f>SUMIF('HSD SAP Dump'!$F$2:$F$602,$A460,'HSD SAP Dump'!$D$2:$D$602)</f>
        <v>24</v>
      </c>
      <c r="I460" s="6">
        <v>31.5</v>
      </c>
    </row>
    <row r="461" spans="1:9" x14ac:dyDescent="0.35">
      <c r="A461" s="2">
        <v>332801</v>
      </c>
      <c r="B461" s="3" t="s">
        <v>479</v>
      </c>
      <c r="C461" s="2" t="s">
        <v>6</v>
      </c>
      <c r="D461" s="4" t="s">
        <v>52</v>
      </c>
      <c r="E461" s="5" t="s">
        <v>8</v>
      </c>
      <c r="F461" s="6">
        <f>SUMIF('MS SAP Dump'!$F$2:$F$603,$A461,'MS SAP Dump'!$D$2:$D$603)</f>
        <v>12</v>
      </c>
      <c r="G461" s="6">
        <v>41</v>
      </c>
      <c r="H461" s="6">
        <f>SUMIF('HSD SAP Dump'!$F$2:$F$602,$A461,'HSD SAP Dump'!$D$2:$D$602)</f>
        <v>24</v>
      </c>
      <c r="I461" s="6">
        <v>41</v>
      </c>
    </row>
    <row r="462" spans="1:9" x14ac:dyDescent="0.35">
      <c r="A462" s="2">
        <v>333846</v>
      </c>
      <c r="B462" s="3" t="s">
        <v>480</v>
      </c>
      <c r="C462" s="2" t="s">
        <v>6</v>
      </c>
      <c r="D462" s="4" t="s">
        <v>10</v>
      </c>
      <c r="E462" s="5" t="s">
        <v>8</v>
      </c>
      <c r="F462" s="6">
        <f>SUMIF('MS SAP Dump'!$F$2:$F$603,$A462,'MS SAP Dump'!$D$2:$D$603)</f>
        <v>18.5</v>
      </c>
      <c r="G462" s="6">
        <v>88</v>
      </c>
      <c r="H462" s="6">
        <f>SUMIF('HSD SAP Dump'!$F$2:$F$602,$A462,'HSD SAP Dump'!$D$2:$D$602)</f>
        <v>65.5</v>
      </c>
      <c r="I462" s="6">
        <v>88</v>
      </c>
    </row>
    <row r="463" spans="1:9" x14ac:dyDescent="0.35">
      <c r="A463" s="2">
        <v>333927</v>
      </c>
      <c r="B463" s="3" t="s">
        <v>481</v>
      </c>
      <c r="C463" s="2" t="s">
        <v>6</v>
      </c>
      <c r="D463" s="4" t="s">
        <v>14</v>
      </c>
      <c r="E463" s="5" t="s">
        <v>8</v>
      </c>
      <c r="F463" s="6">
        <f>SUMIF('MS SAP Dump'!$F$2:$F$603,$A463,'MS SAP Dump'!$D$2:$D$603)</f>
        <v>15</v>
      </c>
      <c r="G463" s="6">
        <v>15</v>
      </c>
      <c r="H463" s="6">
        <f>SUMIF('HSD SAP Dump'!$F$2:$F$602,$A463,'HSD SAP Dump'!$D$2:$D$602)</f>
        <v>21</v>
      </c>
      <c r="I463" s="6">
        <v>15</v>
      </c>
    </row>
    <row r="464" spans="1:9" x14ac:dyDescent="0.35">
      <c r="A464" s="2">
        <v>334432</v>
      </c>
      <c r="B464" s="3" t="s">
        <v>482</v>
      </c>
      <c r="C464" s="2" t="s">
        <v>6</v>
      </c>
      <c r="D464" s="4" t="s">
        <v>10</v>
      </c>
      <c r="E464" s="5" t="s">
        <v>8</v>
      </c>
      <c r="F464" s="6">
        <f>SUMIF('MS SAP Dump'!$F$2:$F$603,$A464,'MS SAP Dump'!$D$2:$D$603)</f>
        <v>24</v>
      </c>
      <c r="G464" s="6">
        <v>78</v>
      </c>
      <c r="H464" s="6">
        <f>SUMIF('HSD SAP Dump'!$F$2:$F$602,$A464,'HSD SAP Dump'!$D$2:$D$602)</f>
        <v>60</v>
      </c>
      <c r="I464" s="6">
        <v>78</v>
      </c>
    </row>
    <row r="465" spans="1:9" x14ac:dyDescent="0.35">
      <c r="A465" s="2">
        <v>334612</v>
      </c>
      <c r="B465" s="3" t="s">
        <v>483</v>
      </c>
      <c r="C465" s="2" t="s">
        <v>6</v>
      </c>
      <c r="D465" s="4" t="s">
        <v>10</v>
      </c>
      <c r="E465" s="5" t="s">
        <v>8</v>
      </c>
      <c r="F465" s="6">
        <f>SUMIF('MS SAP Dump'!$F$2:$F$603,$A465,'MS SAP Dump'!$D$2:$D$603)</f>
        <v>30</v>
      </c>
      <c r="G465" s="6">
        <v>194</v>
      </c>
      <c r="H465" s="6">
        <f>SUMIF('HSD SAP Dump'!$F$2:$F$602,$A465,'HSD SAP Dump'!$D$2:$D$602)</f>
        <v>160</v>
      </c>
      <c r="I465" s="6">
        <v>194</v>
      </c>
    </row>
    <row r="466" spans="1:9" x14ac:dyDescent="0.35">
      <c r="A466" s="2">
        <v>334890</v>
      </c>
      <c r="B466" s="3" t="s">
        <v>484</v>
      </c>
      <c r="C466" s="2" t="s">
        <v>6</v>
      </c>
      <c r="D466" s="4" t="s">
        <v>14</v>
      </c>
      <c r="E466" s="5" t="s">
        <v>8</v>
      </c>
      <c r="F466" s="6">
        <f>SUMIF('MS SAP Dump'!$F$2:$F$603,$A466,'MS SAP Dump'!$D$2:$D$603)</f>
        <v>19</v>
      </c>
      <c r="G466" s="6">
        <v>47.5</v>
      </c>
      <c r="H466" s="6">
        <f>SUMIF('HSD SAP Dump'!$F$2:$F$602,$A466,'HSD SAP Dump'!$D$2:$D$602)</f>
        <v>55</v>
      </c>
      <c r="I466" s="6">
        <v>47.5</v>
      </c>
    </row>
    <row r="467" spans="1:9" x14ac:dyDescent="0.35">
      <c r="A467" s="2">
        <v>335113</v>
      </c>
      <c r="B467" s="3" t="s">
        <v>485</v>
      </c>
      <c r="C467" s="2" t="s">
        <v>6</v>
      </c>
      <c r="D467" s="4" t="s">
        <v>14</v>
      </c>
      <c r="E467" s="5" t="s">
        <v>8</v>
      </c>
      <c r="F467" s="6">
        <f>SUMIF('MS SAP Dump'!$F$2:$F$603,$A467,'MS SAP Dump'!$D$2:$D$603)</f>
        <v>59</v>
      </c>
      <c r="G467" s="6">
        <v>284</v>
      </c>
      <c r="H467" s="6">
        <f>SUMIF('HSD SAP Dump'!$F$2:$F$602,$A467,'HSD SAP Dump'!$D$2:$D$602)</f>
        <v>533</v>
      </c>
      <c r="I467" s="6">
        <v>284</v>
      </c>
    </row>
    <row r="468" spans="1:9" x14ac:dyDescent="0.35">
      <c r="A468" s="2">
        <v>335534</v>
      </c>
      <c r="B468" s="3" t="s">
        <v>486</v>
      </c>
      <c r="C468" s="2" t="s">
        <v>6</v>
      </c>
      <c r="D468" s="4" t="s">
        <v>7</v>
      </c>
      <c r="E468" s="5" t="s">
        <v>8</v>
      </c>
      <c r="F468" s="6">
        <f>SUMIF('MS SAP Dump'!$F$2:$F$603,$A468,'MS SAP Dump'!$D$2:$D$603)</f>
        <v>21</v>
      </c>
      <c r="G468" s="6">
        <v>33</v>
      </c>
      <c r="H468" s="6">
        <f>SUMIF('HSD SAP Dump'!$F$2:$F$602,$A468,'HSD SAP Dump'!$D$2:$D$602)</f>
        <v>27</v>
      </c>
      <c r="I468" s="6">
        <v>33</v>
      </c>
    </row>
    <row r="469" spans="1:9" x14ac:dyDescent="0.35">
      <c r="A469" s="2">
        <v>335558</v>
      </c>
      <c r="B469" s="3" t="s">
        <v>487</v>
      </c>
      <c r="C469" s="2" t="s">
        <v>6</v>
      </c>
      <c r="D469" s="4" t="s">
        <v>47</v>
      </c>
      <c r="E469" s="5" t="s">
        <v>8</v>
      </c>
      <c r="F469" s="6">
        <f>SUMIF('MS SAP Dump'!$F$2:$F$603,$A469,'MS SAP Dump'!$D$2:$D$603)</f>
        <v>40</v>
      </c>
      <c r="G469" s="6">
        <v>157.5</v>
      </c>
      <c r="H469" s="6">
        <f>SUMIF('HSD SAP Dump'!$F$2:$F$602,$A469,'HSD SAP Dump'!$D$2:$D$602)</f>
        <v>194</v>
      </c>
      <c r="I469" s="6">
        <v>157.5</v>
      </c>
    </row>
    <row r="470" spans="1:9" x14ac:dyDescent="0.35">
      <c r="A470" s="2">
        <v>335564</v>
      </c>
      <c r="B470" s="3" t="s">
        <v>476</v>
      </c>
      <c r="C470" s="2" t="s">
        <v>6</v>
      </c>
      <c r="D470" s="4" t="s">
        <v>39</v>
      </c>
      <c r="E470" s="5" t="s">
        <v>40</v>
      </c>
      <c r="F470" s="6">
        <f>SUMIF('MS SAP Dump'!$F$2:$F$603,$A470,'MS SAP Dump'!$D$2:$D$603)</f>
        <v>58.5</v>
      </c>
      <c r="G470" s="6">
        <v>48</v>
      </c>
      <c r="H470" s="6">
        <f>SUMIF('HSD SAP Dump'!$F$2:$F$602,$A470,'HSD SAP Dump'!$D$2:$D$602)</f>
        <v>95.5</v>
      </c>
      <c r="I470" s="6">
        <v>48</v>
      </c>
    </row>
    <row r="471" spans="1:9" x14ac:dyDescent="0.35">
      <c r="A471" s="2">
        <v>335581</v>
      </c>
      <c r="B471" s="3" t="s">
        <v>488</v>
      </c>
      <c r="C471" s="2" t="s">
        <v>6</v>
      </c>
      <c r="D471" s="4" t="s">
        <v>44</v>
      </c>
      <c r="E471" s="5" t="s">
        <v>40</v>
      </c>
      <c r="F471" s="6">
        <f>SUMIF('MS SAP Dump'!$F$2:$F$603,$A471,'MS SAP Dump'!$D$2:$D$603)</f>
        <v>6</v>
      </c>
      <c r="G471" s="6">
        <v>21</v>
      </c>
      <c r="H471" s="6">
        <f>SUMIF('HSD SAP Dump'!$F$2:$F$602,$A471,'HSD SAP Dump'!$D$2:$D$602)</f>
        <v>6</v>
      </c>
      <c r="I471" s="6">
        <v>21</v>
      </c>
    </row>
    <row r="472" spans="1:9" x14ac:dyDescent="0.35">
      <c r="A472" s="2">
        <v>336345</v>
      </c>
      <c r="B472" s="3" t="s">
        <v>489</v>
      </c>
      <c r="C472" s="2" t="s">
        <v>6</v>
      </c>
      <c r="D472" s="4" t="s">
        <v>10</v>
      </c>
      <c r="E472" s="5" t="s">
        <v>8</v>
      </c>
      <c r="F472" s="6">
        <f>SUMIF('MS SAP Dump'!$F$2:$F$603,$A472,'MS SAP Dump'!$D$2:$D$603)</f>
        <v>33.5</v>
      </c>
      <c r="G472" s="6">
        <v>156</v>
      </c>
      <c r="H472" s="6">
        <f>SUMIF('HSD SAP Dump'!$F$2:$F$602,$A472,'HSD SAP Dump'!$D$2:$D$602)</f>
        <v>104.5</v>
      </c>
      <c r="I472" s="6">
        <v>156</v>
      </c>
    </row>
    <row r="473" spans="1:9" x14ac:dyDescent="0.35">
      <c r="A473" s="2">
        <v>336616</v>
      </c>
      <c r="B473" s="3" t="s">
        <v>490</v>
      </c>
      <c r="C473" s="2" t="s">
        <v>6</v>
      </c>
      <c r="D473" s="4" t="s">
        <v>14</v>
      </c>
      <c r="E473" s="5" t="s">
        <v>8</v>
      </c>
      <c r="F473" s="6">
        <f>SUMIF('MS SAP Dump'!$F$2:$F$603,$A473,'MS SAP Dump'!$D$2:$D$603)</f>
        <v>160</v>
      </c>
      <c r="G473" s="6">
        <v>375</v>
      </c>
      <c r="H473" s="6">
        <f>SUMIF('HSD SAP Dump'!$F$2:$F$602,$A473,'HSD SAP Dump'!$D$2:$D$602)</f>
        <v>640</v>
      </c>
      <c r="I473" s="6">
        <v>375</v>
      </c>
    </row>
    <row r="474" spans="1:9" x14ac:dyDescent="0.35">
      <c r="A474" s="2">
        <v>336622</v>
      </c>
      <c r="B474" s="3" t="s">
        <v>491</v>
      </c>
      <c r="C474" s="2" t="s">
        <v>6</v>
      </c>
      <c r="D474" s="4" t="s">
        <v>47</v>
      </c>
      <c r="E474" s="5" t="s">
        <v>8</v>
      </c>
      <c r="F474" s="6">
        <f>SUMIF('MS SAP Dump'!$F$2:$F$603,$A474,'MS SAP Dump'!$D$2:$D$603)</f>
        <v>6</v>
      </c>
      <c r="G474" s="6">
        <v>40.5</v>
      </c>
      <c r="H474" s="6">
        <f>SUMIF('HSD SAP Dump'!$F$2:$F$602,$A474,'HSD SAP Dump'!$D$2:$D$602)</f>
        <v>18</v>
      </c>
      <c r="I474" s="6">
        <v>40.5</v>
      </c>
    </row>
    <row r="475" spans="1:9" x14ac:dyDescent="0.35">
      <c r="A475" s="2">
        <v>336754</v>
      </c>
      <c r="B475" s="3" t="s">
        <v>492</v>
      </c>
      <c r="C475" s="2" t="s">
        <v>6</v>
      </c>
      <c r="D475" s="4" t="s">
        <v>39</v>
      </c>
      <c r="E475" s="5" t="s">
        <v>40</v>
      </c>
      <c r="F475" s="6">
        <f>SUMIF('MS SAP Dump'!$F$2:$F$603,$A475,'MS SAP Dump'!$D$2:$D$603)</f>
        <v>38</v>
      </c>
      <c r="G475" s="6">
        <v>87</v>
      </c>
      <c r="H475" s="6">
        <f>SUMIF('HSD SAP Dump'!$F$2:$F$602,$A475,'HSD SAP Dump'!$D$2:$D$602)</f>
        <v>136</v>
      </c>
      <c r="I475" s="6">
        <v>87</v>
      </c>
    </row>
    <row r="476" spans="1:9" x14ac:dyDescent="0.35">
      <c r="A476" s="2">
        <v>336875</v>
      </c>
      <c r="B476" s="3" t="s">
        <v>493</v>
      </c>
      <c r="C476" s="2" t="s">
        <v>6</v>
      </c>
      <c r="D476" s="4" t="s">
        <v>52</v>
      </c>
      <c r="E476" s="5" t="s">
        <v>8</v>
      </c>
      <c r="F476" s="6">
        <f>SUMIF('MS SAP Dump'!$F$2:$F$603,$A476,'MS SAP Dump'!$D$2:$D$603)</f>
        <v>79</v>
      </c>
      <c r="G476" s="6">
        <v>137</v>
      </c>
      <c r="H476" s="6">
        <f>SUMIF('HSD SAP Dump'!$F$2:$F$602,$A476,'HSD SAP Dump'!$D$2:$D$602)</f>
        <v>141</v>
      </c>
      <c r="I476" s="6">
        <v>137</v>
      </c>
    </row>
    <row r="477" spans="1:9" x14ac:dyDescent="0.35">
      <c r="A477" s="2">
        <v>337104</v>
      </c>
      <c r="B477" s="3" t="s">
        <v>494</v>
      </c>
      <c r="C477" s="2" t="s">
        <v>6</v>
      </c>
      <c r="D477" s="4" t="s">
        <v>7</v>
      </c>
      <c r="E477" s="5" t="s">
        <v>8</v>
      </c>
      <c r="F477" s="6">
        <f>SUMIF('MS SAP Dump'!$F$2:$F$603,$A477,'MS SAP Dump'!$D$2:$D$603)</f>
        <v>40</v>
      </c>
      <c r="G477" s="6">
        <v>120</v>
      </c>
      <c r="H477" s="6">
        <f>SUMIF('HSD SAP Dump'!$F$2:$F$602,$A477,'HSD SAP Dump'!$D$2:$D$602)</f>
        <v>142</v>
      </c>
      <c r="I477" s="6">
        <v>120</v>
      </c>
    </row>
    <row r="478" spans="1:9" x14ac:dyDescent="0.35">
      <c r="A478" s="2">
        <v>337539</v>
      </c>
      <c r="B478" s="3" t="s">
        <v>495</v>
      </c>
      <c r="C478" s="2" t="s">
        <v>6</v>
      </c>
      <c r="D478" s="4" t="s">
        <v>16</v>
      </c>
      <c r="E478" s="5" t="s">
        <v>17</v>
      </c>
      <c r="F478" s="6">
        <f>SUMIF('MS SAP Dump'!$F$2:$F$603,$A478,'MS SAP Dump'!$D$2:$D$603)</f>
        <v>37</v>
      </c>
      <c r="G478" s="6">
        <v>62</v>
      </c>
      <c r="H478" s="6">
        <f>SUMIF('HSD SAP Dump'!$F$2:$F$602,$A478,'HSD SAP Dump'!$D$2:$D$602)</f>
        <v>31</v>
      </c>
      <c r="I478" s="6">
        <v>62</v>
      </c>
    </row>
    <row r="479" spans="1:9" x14ac:dyDescent="0.35">
      <c r="A479" s="2">
        <v>337607</v>
      </c>
      <c r="B479" s="3" t="s">
        <v>496</v>
      </c>
      <c r="C479" s="2" t="s">
        <v>6</v>
      </c>
      <c r="D479" s="4" t="s">
        <v>26</v>
      </c>
      <c r="E479" s="5" t="s">
        <v>17</v>
      </c>
      <c r="F479" s="6">
        <f>SUMIF('MS SAP Dump'!$F$2:$F$603,$A479,'MS SAP Dump'!$D$2:$D$603)</f>
        <v>9.5</v>
      </c>
      <c r="G479" s="6">
        <v>48</v>
      </c>
      <c r="H479" s="6">
        <f>SUMIF('HSD SAP Dump'!$F$2:$F$602,$A479,'HSD SAP Dump'!$D$2:$D$602)</f>
        <v>40.5</v>
      </c>
      <c r="I479" s="6">
        <v>48</v>
      </c>
    </row>
    <row r="480" spans="1:9" x14ac:dyDescent="0.35">
      <c r="A480" s="2">
        <v>337709</v>
      </c>
      <c r="B480" s="3" t="s">
        <v>497</v>
      </c>
      <c r="C480" s="2" t="s">
        <v>6</v>
      </c>
      <c r="D480" s="4" t="s">
        <v>44</v>
      </c>
      <c r="E480" s="5" t="s">
        <v>40</v>
      </c>
      <c r="F480" s="6">
        <f>SUMIF('MS SAP Dump'!$F$2:$F$603,$A480,'MS SAP Dump'!$D$2:$D$603)</f>
        <v>14</v>
      </c>
      <c r="G480" s="6">
        <v>90</v>
      </c>
      <c r="H480" s="6">
        <f>SUMIF('HSD SAP Dump'!$F$2:$F$602,$A480,'HSD SAP Dump'!$D$2:$D$602)</f>
        <v>252</v>
      </c>
      <c r="I480" s="6">
        <v>90</v>
      </c>
    </row>
    <row r="481" spans="1:9" x14ac:dyDescent="0.35">
      <c r="A481" s="2">
        <v>337776</v>
      </c>
      <c r="B481" s="3" t="s">
        <v>498</v>
      </c>
      <c r="C481" s="2" t="s">
        <v>6</v>
      </c>
      <c r="D481" s="4" t="s">
        <v>44</v>
      </c>
      <c r="E481" s="5" t="s">
        <v>40</v>
      </c>
      <c r="F481" s="6">
        <f>SUMIF('MS SAP Dump'!$F$2:$F$603,$A481,'MS SAP Dump'!$D$2:$D$603)</f>
        <v>27</v>
      </c>
      <c r="G481" s="6">
        <v>33</v>
      </c>
      <c r="H481" s="6">
        <f>SUMIF('HSD SAP Dump'!$F$2:$F$602,$A481,'HSD SAP Dump'!$D$2:$D$602)</f>
        <v>21</v>
      </c>
      <c r="I481" s="6">
        <v>33</v>
      </c>
    </row>
    <row r="482" spans="1:9" x14ac:dyDescent="0.35">
      <c r="A482" s="2">
        <v>338424</v>
      </c>
      <c r="B482" s="3" t="s">
        <v>499</v>
      </c>
      <c r="C482" s="2" t="s">
        <v>6</v>
      </c>
      <c r="D482" s="4" t="s">
        <v>47</v>
      </c>
      <c r="E482" s="5" t="s">
        <v>8</v>
      </c>
      <c r="F482" s="6">
        <f>SUMIF('MS SAP Dump'!$F$2:$F$603,$A482,'MS SAP Dump'!$D$2:$D$603)</f>
        <v>33</v>
      </c>
      <c r="G482" s="6">
        <v>48</v>
      </c>
      <c r="H482" s="6">
        <f>SUMIF('HSD SAP Dump'!$F$2:$F$602,$A482,'HSD SAP Dump'!$D$2:$D$602)</f>
        <v>39</v>
      </c>
      <c r="I482" s="6">
        <v>48</v>
      </c>
    </row>
    <row r="483" spans="1:9" x14ac:dyDescent="0.35">
      <c r="A483" s="2">
        <v>338696</v>
      </c>
      <c r="B483" s="3" t="s">
        <v>500</v>
      </c>
      <c r="C483" s="2" t="s">
        <v>6</v>
      </c>
      <c r="D483" s="4" t="s">
        <v>14</v>
      </c>
      <c r="E483" s="5" t="s">
        <v>8</v>
      </c>
      <c r="F483" s="6">
        <f>SUMIF('MS SAP Dump'!$F$2:$F$603,$A483,'MS SAP Dump'!$D$2:$D$603)</f>
        <v>63</v>
      </c>
      <c r="G483" s="6">
        <v>91.5</v>
      </c>
      <c r="H483" s="6">
        <f>SUMIF('HSD SAP Dump'!$F$2:$F$602,$A483,'HSD SAP Dump'!$D$2:$D$602)</f>
        <v>77</v>
      </c>
      <c r="I483" s="6">
        <v>91.5</v>
      </c>
    </row>
    <row r="484" spans="1:9" x14ac:dyDescent="0.35">
      <c r="A484" s="2">
        <v>338727</v>
      </c>
      <c r="B484" s="3" t="s">
        <v>501</v>
      </c>
      <c r="C484" s="2" t="s">
        <v>6</v>
      </c>
      <c r="D484" s="4" t="s">
        <v>7</v>
      </c>
      <c r="E484" s="5" t="s">
        <v>8</v>
      </c>
      <c r="F484" s="6">
        <f>SUMIF('MS SAP Dump'!$F$2:$F$603,$A484,'MS SAP Dump'!$D$2:$D$603)</f>
        <v>38</v>
      </c>
      <c r="G484" s="6">
        <v>81</v>
      </c>
      <c r="H484" s="6">
        <f>SUMIF('HSD SAP Dump'!$F$2:$F$602,$A484,'HSD SAP Dump'!$D$2:$D$602)</f>
        <v>86</v>
      </c>
      <c r="I484" s="6">
        <v>81</v>
      </c>
    </row>
    <row r="485" spans="1:9" x14ac:dyDescent="0.35">
      <c r="A485" s="2">
        <v>338750</v>
      </c>
      <c r="B485" s="3" t="s">
        <v>502</v>
      </c>
      <c r="C485" s="2" t="s">
        <v>6</v>
      </c>
      <c r="D485" s="4" t="s">
        <v>16</v>
      </c>
      <c r="E485" s="5" t="s">
        <v>17</v>
      </c>
      <c r="F485" s="6">
        <f>SUMIF('MS SAP Dump'!$F$2:$F$603,$A485,'MS SAP Dump'!$D$2:$D$603)</f>
        <v>37</v>
      </c>
      <c r="G485" s="6">
        <v>48</v>
      </c>
      <c r="H485" s="6">
        <f>SUMIF('HSD SAP Dump'!$F$2:$F$602,$A485,'HSD SAP Dump'!$D$2:$D$602)</f>
        <v>103</v>
      </c>
      <c r="I485" s="6">
        <v>48</v>
      </c>
    </row>
    <row r="486" spans="1:9" x14ac:dyDescent="0.35">
      <c r="A486" s="2">
        <v>338875</v>
      </c>
      <c r="B486" s="3" t="s">
        <v>503</v>
      </c>
      <c r="C486" s="2" t="s">
        <v>6</v>
      </c>
      <c r="D486" s="4" t="s">
        <v>52</v>
      </c>
      <c r="E486" s="5" t="s">
        <v>8</v>
      </c>
      <c r="F486" s="6">
        <f>SUMIF('MS SAP Dump'!$F$2:$F$603,$A486,'MS SAP Dump'!$D$2:$D$603)</f>
        <v>69</v>
      </c>
      <c r="G486" s="6">
        <v>115</v>
      </c>
      <c r="H486" s="6">
        <f>SUMIF('HSD SAP Dump'!$F$2:$F$602,$A486,'HSD SAP Dump'!$D$2:$D$602)</f>
        <v>113</v>
      </c>
      <c r="I486" s="6">
        <v>115</v>
      </c>
    </row>
    <row r="487" spans="1:9" x14ac:dyDescent="0.35">
      <c r="A487" s="2">
        <v>338877</v>
      </c>
      <c r="B487" s="3" t="s">
        <v>504</v>
      </c>
      <c r="C487" s="2" t="s">
        <v>6</v>
      </c>
      <c r="D487" s="4" t="s">
        <v>14</v>
      </c>
      <c r="E487" s="5" t="s">
        <v>8</v>
      </c>
      <c r="F487" s="6">
        <f>SUMIF('MS SAP Dump'!$F$2:$F$603,$A487,'MS SAP Dump'!$D$2:$D$603)</f>
        <v>23</v>
      </c>
      <c r="G487" s="6">
        <v>18</v>
      </c>
      <c r="H487" s="6">
        <f>SUMIF('HSD SAP Dump'!$F$2:$F$602,$A487,'HSD SAP Dump'!$D$2:$D$602)</f>
        <v>31</v>
      </c>
      <c r="I487" s="6">
        <v>18</v>
      </c>
    </row>
    <row r="488" spans="1:9" x14ac:dyDescent="0.35">
      <c r="A488" s="2">
        <v>338885</v>
      </c>
      <c r="B488" s="3" t="s">
        <v>505</v>
      </c>
      <c r="C488" s="2" t="s">
        <v>6</v>
      </c>
      <c r="D488" s="4" t="s">
        <v>19</v>
      </c>
      <c r="E488" s="5" t="s">
        <v>17</v>
      </c>
      <c r="F488" s="6">
        <f>SUMIF('MS SAP Dump'!$F$2:$F$603,$A488,'MS SAP Dump'!$D$2:$D$603)</f>
        <v>103.5</v>
      </c>
      <c r="G488" s="6">
        <v>125</v>
      </c>
      <c r="H488" s="6">
        <f>SUMIF('HSD SAP Dump'!$F$2:$F$602,$A488,'HSD SAP Dump'!$D$2:$D$602)</f>
        <v>178.5</v>
      </c>
      <c r="I488" s="6">
        <v>125</v>
      </c>
    </row>
    <row r="489" spans="1:9" x14ac:dyDescent="0.35">
      <c r="A489" s="2">
        <v>338994</v>
      </c>
      <c r="B489" s="3" t="s">
        <v>506</v>
      </c>
      <c r="C489" s="2" t="s">
        <v>6</v>
      </c>
      <c r="D489" s="4" t="s">
        <v>47</v>
      </c>
      <c r="E489" s="5" t="s">
        <v>8</v>
      </c>
      <c r="F489" s="6">
        <f>SUMIF('MS SAP Dump'!$F$2:$F$603,$A489,'MS SAP Dump'!$D$2:$D$603)</f>
        <v>19</v>
      </c>
      <c r="G489" s="6">
        <v>57</v>
      </c>
      <c r="H489" s="6">
        <f>SUMIF('HSD SAP Dump'!$F$2:$F$602,$A489,'HSD SAP Dump'!$D$2:$D$602)</f>
        <v>93</v>
      </c>
      <c r="I489" s="6">
        <v>57</v>
      </c>
    </row>
    <row r="490" spans="1:9" x14ac:dyDescent="0.35">
      <c r="A490" s="2">
        <v>338999</v>
      </c>
      <c r="B490" s="3" t="s">
        <v>507</v>
      </c>
      <c r="C490" s="2" t="s">
        <v>6</v>
      </c>
      <c r="D490" s="4" t="s">
        <v>52</v>
      </c>
      <c r="E490" s="5" t="s">
        <v>8</v>
      </c>
      <c r="F490" s="6">
        <f>SUMIF('MS SAP Dump'!$F$2:$F$603,$A490,'MS SAP Dump'!$D$2:$D$603)</f>
        <v>67.5</v>
      </c>
      <c r="G490" s="6">
        <v>99</v>
      </c>
      <c r="H490" s="6">
        <f>SUMIF('HSD SAP Dump'!$F$2:$F$602,$A490,'HSD SAP Dump'!$D$2:$D$602)</f>
        <v>136.5</v>
      </c>
      <c r="I490" s="6">
        <v>99</v>
      </c>
    </row>
    <row r="491" spans="1:9" x14ac:dyDescent="0.35">
      <c r="A491" s="2">
        <v>339681</v>
      </c>
      <c r="B491" s="3" t="s">
        <v>508</v>
      </c>
      <c r="C491" s="2" t="s">
        <v>6</v>
      </c>
      <c r="D491" s="4" t="s">
        <v>39</v>
      </c>
      <c r="E491" s="5" t="s">
        <v>40</v>
      </c>
      <c r="F491" s="6">
        <f>SUMIF('MS SAP Dump'!$F$2:$F$603,$A491,'MS SAP Dump'!$D$2:$D$603)</f>
        <v>56</v>
      </c>
      <c r="G491" s="6">
        <v>43</v>
      </c>
      <c r="H491" s="6">
        <f>SUMIF('HSD SAP Dump'!$F$2:$F$602,$A491,'HSD SAP Dump'!$D$2:$D$602)</f>
        <v>58</v>
      </c>
      <c r="I491" s="6">
        <v>43</v>
      </c>
    </row>
    <row r="492" spans="1:9" x14ac:dyDescent="0.35">
      <c r="A492" s="2">
        <v>340180</v>
      </c>
      <c r="B492" s="3" t="s">
        <v>509</v>
      </c>
      <c r="C492" s="2" t="s">
        <v>6</v>
      </c>
      <c r="D492" s="4" t="s">
        <v>39</v>
      </c>
      <c r="E492" s="5" t="s">
        <v>40</v>
      </c>
      <c r="F492" s="6">
        <f>SUMIF('MS SAP Dump'!$F$2:$F$603,$A492,'MS SAP Dump'!$D$2:$D$603)</f>
        <v>24</v>
      </c>
      <c r="G492" s="6">
        <v>16</v>
      </c>
      <c r="H492" s="6">
        <f>SUMIF('HSD SAP Dump'!$F$2:$F$602,$A492,'HSD SAP Dump'!$D$2:$D$602)</f>
        <v>36</v>
      </c>
      <c r="I492" s="6">
        <v>16</v>
      </c>
    </row>
    <row r="493" spans="1:9" x14ac:dyDescent="0.35">
      <c r="A493" s="2">
        <v>340789</v>
      </c>
      <c r="B493" s="3" t="s">
        <v>510</v>
      </c>
      <c r="C493" s="2" t="s">
        <v>6</v>
      </c>
      <c r="D493" s="4" t="s">
        <v>39</v>
      </c>
      <c r="E493" s="5" t="s">
        <v>40</v>
      </c>
      <c r="F493" s="6">
        <f>SUMIF('MS SAP Dump'!$F$2:$F$603,$A493,'MS SAP Dump'!$D$2:$D$603)</f>
        <v>6</v>
      </c>
      <c r="G493" s="6">
        <v>18</v>
      </c>
      <c r="H493" s="6">
        <f>SUMIF('HSD SAP Dump'!$F$2:$F$602,$A493,'HSD SAP Dump'!$D$2:$D$602)</f>
        <v>6</v>
      </c>
      <c r="I493" s="6">
        <v>18</v>
      </c>
    </row>
    <row r="494" spans="1:9" x14ac:dyDescent="0.35">
      <c r="A494" s="2">
        <v>341453</v>
      </c>
      <c r="B494" s="3" t="s">
        <v>511</v>
      </c>
      <c r="C494" s="2" t="s">
        <v>6</v>
      </c>
      <c r="D494" s="4" t="s">
        <v>7</v>
      </c>
      <c r="E494" s="5" t="s">
        <v>8</v>
      </c>
      <c r="F494" s="6">
        <f>SUMIF('MS SAP Dump'!$F$2:$F$603,$A494,'MS SAP Dump'!$D$2:$D$603)</f>
        <v>12</v>
      </c>
      <c r="G494" s="6">
        <v>55</v>
      </c>
      <c r="H494" s="6">
        <f>SUMIF('HSD SAP Dump'!$F$2:$F$602,$A494,'HSD SAP Dump'!$D$2:$D$602)</f>
        <v>36</v>
      </c>
      <c r="I494" s="6">
        <v>55</v>
      </c>
    </row>
    <row r="495" spans="1:9" x14ac:dyDescent="0.35">
      <c r="A495" s="2">
        <v>341497</v>
      </c>
      <c r="B495" s="3" t="s">
        <v>512</v>
      </c>
      <c r="C495" s="2" t="s">
        <v>6</v>
      </c>
      <c r="D495" s="4" t="s">
        <v>7</v>
      </c>
      <c r="E495" s="5" t="s">
        <v>8</v>
      </c>
      <c r="F495" s="6">
        <f>SUMIF('MS SAP Dump'!$F$2:$F$603,$A495,'MS SAP Dump'!$D$2:$D$603)</f>
        <v>35</v>
      </c>
      <c r="G495" s="6">
        <v>55</v>
      </c>
      <c r="H495" s="6">
        <f>SUMIF('HSD SAP Dump'!$F$2:$F$602,$A495,'HSD SAP Dump'!$D$2:$D$602)</f>
        <v>91</v>
      </c>
      <c r="I495" s="6">
        <v>55</v>
      </c>
    </row>
    <row r="496" spans="1:9" x14ac:dyDescent="0.35">
      <c r="A496" s="2">
        <v>341505</v>
      </c>
      <c r="B496" s="3" t="s">
        <v>513</v>
      </c>
      <c r="C496" s="2" t="s">
        <v>6</v>
      </c>
      <c r="D496" s="4" t="s">
        <v>7</v>
      </c>
      <c r="E496" s="5" t="s">
        <v>8</v>
      </c>
      <c r="F496" s="6">
        <f>SUMIF('MS SAP Dump'!$F$2:$F$603,$A496,'MS SAP Dump'!$D$2:$D$603)</f>
        <v>90</v>
      </c>
      <c r="G496" s="6">
        <v>140.5</v>
      </c>
      <c r="H496" s="6">
        <f>SUMIF('HSD SAP Dump'!$F$2:$F$602,$A496,'HSD SAP Dump'!$D$2:$D$602)</f>
        <v>134</v>
      </c>
      <c r="I496" s="6">
        <v>140.5</v>
      </c>
    </row>
    <row r="497" spans="1:9" x14ac:dyDescent="0.35">
      <c r="A497" s="2">
        <v>341516</v>
      </c>
      <c r="B497" s="3" t="s">
        <v>133</v>
      </c>
      <c r="C497" s="2" t="s">
        <v>6</v>
      </c>
      <c r="D497" s="4" t="s">
        <v>16</v>
      </c>
      <c r="E497" s="5" t="s">
        <v>17</v>
      </c>
      <c r="F497" s="6">
        <f>SUMIF('MS SAP Dump'!$F$2:$F$603,$A497,'MS SAP Dump'!$D$2:$D$603)</f>
        <v>54</v>
      </c>
      <c r="G497" s="6">
        <v>122</v>
      </c>
      <c r="H497" s="6">
        <f>SUMIF('HSD SAP Dump'!$F$2:$F$602,$A497,'HSD SAP Dump'!$D$2:$D$602)</f>
        <v>94</v>
      </c>
      <c r="I497" s="6">
        <v>122</v>
      </c>
    </row>
    <row r="498" spans="1:9" x14ac:dyDescent="0.35">
      <c r="A498" s="2">
        <v>341913</v>
      </c>
      <c r="B498" s="3" t="s">
        <v>514</v>
      </c>
      <c r="C498" s="2" t="s">
        <v>6</v>
      </c>
      <c r="D498" s="4" t="s">
        <v>39</v>
      </c>
      <c r="E498" s="5" t="s">
        <v>40</v>
      </c>
      <c r="F498" s="6">
        <f>SUMIF('MS SAP Dump'!$F$2:$F$603,$A498,'MS SAP Dump'!$D$2:$D$603)</f>
        <v>38.5</v>
      </c>
      <c r="G498" s="6">
        <v>21</v>
      </c>
      <c r="H498" s="6">
        <f>SUMIF('HSD SAP Dump'!$F$2:$F$602,$A498,'HSD SAP Dump'!$D$2:$D$602)</f>
        <v>59.5</v>
      </c>
      <c r="I498" s="6">
        <v>21</v>
      </c>
    </row>
    <row r="499" spans="1:9" x14ac:dyDescent="0.35">
      <c r="A499" s="2">
        <v>341914</v>
      </c>
      <c r="B499" s="3" t="s">
        <v>515</v>
      </c>
      <c r="C499" s="2" t="s">
        <v>6</v>
      </c>
      <c r="D499" s="4" t="s">
        <v>14</v>
      </c>
      <c r="E499" s="5" t="s">
        <v>8</v>
      </c>
      <c r="F499" s="6">
        <f>SUMIF('MS SAP Dump'!$F$2:$F$603,$A499,'MS SAP Dump'!$D$2:$D$603)</f>
        <v>12</v>
      </c>
      <c r="G499" s="6">
        <v>18</v>
      </c>
      <c r="H499" s="6">
        <f>SUMIF('HSD SAP Dump'!$F$2:$F$602,$A499,'HSD SAP Dump'!$D$2:$D$602)</f>
        <v>66</v>
      </c>
      <c r="I499" s="6">
        <v>18</v>
      </c>
    </row>
    <row r="500" spans="1:9" x14ac:dyDescent="0.35">
      <c r="A500" s="2">
        <v>342091</v>
      </c>
      <c r="B500" s="3" t="s">
        <v>516</v>
      </c>
      <c r="C500" s="2" t="s">
        <v>6</v>
      </c>
      <c r="D500" s="4" t="s">
        <v>16</v>
      </c>
      <c r="E500" s="5" t="s">
        <v>17</v>
      </c>
      <c r="F500" s="6">
        <f>SUMIF('MS SAP Dump'!$F$2:$F$603,$A500,'MS SAP Dump'!$D$2:$D$603)</f>
        <v>32</v>
      </c>
      <c r="G500" s="6">
        <v>15</v>
      </c>
      <c r="H500" s="6">
        <f>SUMIF('HSD SAP Dump'!$F$2:$F$602,$A500,'HSD SAP Dump'!$D$2:$D$602)</f>
        <v>60</v>
      </c>
      <c r="I500" s="6">
        <v>15</v>
      </c>
    </row>
    <row r="501" spans="1:9" x14ac:dyDescent="0.35">
      <c r="A501" s="2">
        <v>342102</v>
      </c>
      <c r="B501" s="3" t="s">
        <v>517</v>
      </c>
      <c r="C501" s="2" t="s">
        <v>6</v>
      </c>
      <c r="D501" s="4" t="s">
        <v>19</v>
      </c>
      <c r="E501" s="5" t="s">
        <v>17</v>
      </c>
      <c r="F501" s="6">
        <f>SUMIF('MS SAP Dump'!$F$2:$F$603,$A501,'MS SAP Dump'!$D$2:$D$603)</f>
        <v>73.5</v>
      </c>
      <c r="G501" s="6">
        <v>156</v>
      </c>
      <c r="H501" s="6">
        <f>SUMIF('HSD SAP Dump'!$F$2:$F$602,$A501,'HSD SAP Dump'!$D$2:$D$602)</f>
        <v>150.5</v>
      </c>
      <c r="I501" s="6">
        <v>156</v>
      </c>
    </row>
    <row r="502" spans="1:9" x14ac:dyDescent="0.35">
      <c r="A502" s="2">
        <v>342786</v>
      </c>
      <c r="B502" s="3" t="s">
        <v>518</v>
      </c>
      <c r="C502" s="2" t="s">
        <v>6</v>
      </c>
      <c r="D502" s="4" t="s">
        <v>16</v>
      </c>
      <c r="E502" s="5" t="s">
        <v>17</v>
      </c>
      <c r="F502" s="6">
        <f>SUMIF('MS SAP Dump'!$F$2:$F$603,$A502,'MS SAP Dump'!$D$2:$D$603)</f>
        <v>41.5</v>
      </c>
      <c r="G502" s="6">
        <v>107</v>
      </c>
      <c r="H502" s="6">
        <f>SUMIF('HSD SAP Dump'!$F$2:$F$602,$A502,'HSD SAP Dump'!$D$2:$D$602)</f>
        <v>122.5</v>
      </c>
      <c r="I502" s="6">
        <v>107</v>
      </c>
    </row>
    <row r="503" spans="1:9" x14ac:dyDescent="0.35">
      <c r="A503" s="2">
        <v>342794</v>
      </c>
      <c r="B503" s="3" t="s">
        <v>519</v>
      </c>
      <c r="C503" s="2" t="s">
        <v>6</v>
      </c>
      <c r="D503" s="4" t="s">
        <v>47</v>
      </c>
      <c r="E503" s="5" t="s">
        <v>8</v>
      </c>
      <c r="F503" s="6">
        <f>SUMIF('MS SAP Dump'!$F$2:$F$603,$A503,'MS SAP Dump'!$D$2:$D$603)</f>
        <v>30</v>
      </c>
      <c r="G503" s="6">
        <v>70.5</v>
      </c>
      <c r="H503" s="6">
        <f>SUMIF('HSD SAP Dump'!$F$2:$F$602,$A503,'HSD SAP Dump'!$D$2:$D$602)</f>
        <v>86</v>
      </c>
      <c r="I503" s="6">
        <v>70.5</v>
      </c>
    </row>
    <row r="504" spans="1:9" x14ac:dyDescent="0.35">
      <c r="A504" s="2">
        <v>343267</v>
      </c>
      <c r="B504" s="3" t="s">
        <v>520</v>
      </c>
      <c r="C504" s="2" t="s">
        <v>6</v>
      </c>
      <c r="D504" s="4" t="s">
        <v>26</v>
      </c>
      <c r="E504" s="5" t="s">
        <v>17</v>
      </c>
      <c r="F504" s="6">
        <f>SUMIF('MS SAP Dump'!$F$2:$F$603,$A504,'MS SAP Dump'!$D$2:$D$603)</f>
        <v>13</v>
      </c>
      <c r="G504" s="6">
        <v>34.5</v>
      </c>
      <c r="H504" s="6">
        <f>SUMIF('HSD SAP Dump'!$F$2:$F$602,$A504,'HSD SAP Dump'!$D$2:$D$602)</f>
        <v>13</v>
      </c>
      <c r="I504" s="6">
        <v>34.5</v>
      </c>
    </row>
    <row r="505" spans="1:9" x14ac:dyDescent="0.35">
      <c r="A505" s="2">
        <v>343452</v>
      </c>
      <c r="B505" s="3" t="s">
        <v>521</v>
      </c>
      <c r="C505" s="2" t="s">
        <v>6</v>
      </c>
      <c r="D505" s="4" t="s">
        <v>44</v>
      </c>
      <c r="E505" s="5" t="s">
        <v>40</v>
      </c>
      <c r="F505" s="6">
        <f>SUMIF('MS SAP Dump'!$F$2:$F$603,$A505,'MS SAP Dump'!$D$2:$D$603)</f>
        <v>35</v>
      </c>
      <c r="G505" s="6">
        <v>80</v>
      </c>
      <c r="H505" s="6">
        <f>SUMIF('HSD SAP Dump'!$F$2:$F$602,$A505,'HSD SAP Dump'!$D$2:$D$602)</f>
        <v>67</v>
      </c>
      <c r="I505" s="6">
        <v>80</v>
      </c>
    </row>
    <row r="506" spans="1:9" x14ac:dyDescent="0.35">
      <c r="A506" s="2">
        <v>343514</v>
      </c>
      <c r="B506" s="3" t="s">
        <v>522</v>
      </c>
      <c r="C506" s="2" t="s">
        <v>6</v>
      </c>
      <c r="D506" s="4" t="s">
        <v>39</v>
      </c>
      <c r="E506" s="5" t="s">
        <v>40</v>
      </c>
      <c r="F506" s="6">
        <f>SUMIF('MS SAP Dump'!$F$2:$F$603,$A506,'MS SAP Dump'!$D$2:$D$603)</f>
        <v>25.5</v>
      </c>
      <c r="G506" s="6">
        <v>52.5</v>
      </c>
      <c r="H506" s="6">
        <f>SUMIF('HSD SAP Dump'!$F$2:$F$602,$A506,'HSD SAP Dump'!$D$2:$D$602)</f>
        <v>64.5</v>
      </c>
      <c r="I506" s="6">
        <v>52.5</v>
      </c>
    </row>
    <row r="507" spans="1:9" x14ac:dyDescent="0.35">
      <c r="A507" s="2">
        <v>343518</v>
      </c>
      <c r="B507" s="3" t="s">
        <v>523</v>
      </c>
      <c r="C507" s="2" t="s">
        <v>6</v>
      </c>
      <c r="D507" s="4" t="s">
        <v>44</v>
      </c>
      <c r="E507" s="5" t="s">
        <v>40</v>
      </c>
      <c r="F507" s="6">
        <f>SUMIF('MS SAP Dump'!$F$2:$F$603,$A507,'MS SAP Dump'!$D$2:$D$603)</f>
        <v>0</v>
      </c>
      <c r="G507" s="6">
        <v>15</v>
      </c>
      <c r="H507" s="6">
        <f>SUMIF('HSD SAP Dump'!$F$2:$F$602,$A507,'HSD SAP Dump'!$D$2:$D$602)</f>
        <v>0</v>
      </c>
      <c r="I507" s="6">
        <v>15</v>
      </c>
    </row>
    <row r="508" spans="1:9" x14ac:dyDescent="0.35">
      <c r="A508" s="2">
        <v>343520</v>
      </c>
      <c r="B508" s="3" t="s">
        <v>524</v>
      </c>
      <c r="C508" s="2" t="s">
        <v>6</v>
      </c>
      <c r="D508" s="4" t="s">
        <v>39</v>
      </c>
      <c r="E508" s="5" t="s">
        <v>40</v>
      </c>
      <c r="F508" s="6">
        <f>SUMIF('MS SAP Dump'!$F$2:$F$603,$A508,'MS SAP Dump'!$D$2:$D$603)</f>
        <v>55</v>
      </c>
      <c r="G508" s="6">
        <v>107</v>
      </c>
      <c r="H508" s="6">
        <f>SUMIF('HSD SAP Dump'!$F$2:$F$602,$A508,'HSD SAP Dump'!$D$2:$D$602)</f>
        <v>101</v>
      </c>
      <c r="I508" s="6">
        <v>107</v>
      </c>
    </row>
    <row r="509" spans="1:9" x14ac:dyDescent="0.35">
      <c r="A509" s="2">
        <v>343574</v>
      </c>
      <c r="B509" s="3" t="s">
        <v>525</v>
      </c>
      <c r="C509" s="2" t="s">
        <v>6</v>
      </c>
      <c r="D509" s="4" t="s">
        <v>52</v>
      </c>
      <c r="E509" s="5" t="s">
        <v>8</v>
      </c>
      <c r="F509" s="6">
        <f>SUMIF('MS SAP Dump'!$F$2:$F$603,$A509,'MS SAP Dump'!$D$2:$D$603)</f>
        <v>8.5</v>
      </c>
      <c r="G509" s="6">
        <v>64</v>
      </c>
      <c r="H509" s="6">
        <f>SUMIF('HSD SAP Dump'!$F$2:$F$602,$A509,'HSD SAP Dump'!$D$2:$D$602)</f>
        <v>81.5</v>
      </c>
      <c r="I509" s="6">
        <v>64</v>
      </c>
    </row>
    <row r="510" spans="1:9" x14ac:dyDescent="0.35">
      <c r="A510" s="2">
        <v>344146</v>
      </c>
      <c r="B510" s="3" t="s">
        <v>526</v>
      </c>
      <c r="C510" s="2" t="s">
        <v>6</v>
      </c>
      <c r="D510" s="4" t="s">
        <v>26</v>
      </c>
      <c r="E510" s="5" t="s">
        <v>17</v>
      </c>
      <c r="F510" s="6">
        <f>SUMIF('MS SAP Dump'!$F$2:$F$603,$A510,'MS SAP Dump'!$D$2:$D$603)</f>
        <v>51</v>
      </c>
      <c r="G510" s="6">
        <v>86</v>
      </c>
      <c r="H510" s="6">
        <f>SUMIF('HSD SAP Dump'!$F$2:$F$602,$A510,'HSD SAP Dump'!$D$2:$D$602)</f>
        <v>59</v>
      </c>
      <c r="I510" s="6">
        <v>86</v>
      </c>
    </row>
    <row r="511" spans="1:9" x14ac:dyDescent="0.35">
      <c r="A511" s="2">
        <v>344153</v>
      </c>
      <c r="B511" s="3" t="s">
        <v>527</v>
      </c>
      <c r="C511" s="2" t="s">
        <v>6</v>
      </c>
      <c r="D511" s="4" t="s">
        <v>19</v>
      </c>
      <c r="E511" s="5" t="s">
        <v>17</v>
      </c>
      <c r="F511" s="6">
        <f>SUMIF('MS SAP Dump'!$F$2:$F$603,$A511,'MS SAP Dump'!$D$2:$D$603)</f>
        <v>18</v>
      </c>
      <c r="G511" s="6">
        <v>44</v>
      </c>
      <c r="H511" s="6">
        <f>SUMIF('HSD SAP Dump'!$F$2:$F$602,$A511,'HSD SAP Dump'!$D$2:$D$602)</f>
        <v>42</v>
      </c>
      <c r="I511" s="6">
        <v>44</v>
      </c>
    </row>
    <row r="512" spans="1:9" x14ac:dyDescent="0.35">
      <c r="A512" s="2">
        <v>344177</v>
      </c>
      <c r="B512" s="3" t="s">
        <v>528</v>
      </c>
      <c r="C512" s="2" t="s">
        <v>6</v>
      </c>
      <c r="D512" s="4" t="s">
        <v>14</v>
      </c>
      <c r="E512" s="5" t="s">
        <v>8</v>
      </c>
      <c r="F512" s="6">
        <f>SUMIF('MS SAP Dump'!$F$2:$F$603,$A512,'MS SAP Dump'!$D$2:$D$603)</f>
        <v>0</v>
      </c>
      <c r="G512" s="6">
        <v>0</v>
      </c>
      <c r="H512" s="6">
        <f>SUMIF('HSD SAP Dump'!$F$2:$F$602,$A512,'HSD SAP Dump'!$D$2:$D$602)</f>
        <v>0</v>
      </c>
      <c r="I512" s="6">
        <v>0</v>
      </c>
    </row>
    <row r="513" spans="1:9" x14ac:dyDescent="0.35">
      <c r="A513" s="2">
        <v>386612</v>
      </c>
      <c r="B513" s="3" t="s">
        <v>529</v>
      </c>
      <c r="C513" s="2" t="s">
        <v>6</v>
      </c>
      <c r="D513" s="4" t="s">
        <v>39</v>
      </c>
      <c r="E513" s="5" t="s">
        <v>40</v>
      </c>
      <c r="F513" s="6">
        <f>SUMIF('MS SAP Dump'!$F$2:$F$603,$A513,'MS SAP Dump'!$D$2:$D$603)</f>
        <v>0</v>
      </c>
      <c r="G513" s="6">
        <v>0</v>
      </c>
      <c r="H513" s="6">
        <f>SUMIF('HSD SAP Dump'!$F$2:$F$602,$A513,'HSD SAP Dump'!$D$2:$D$602)</f>
        <v>0</v>
      </c>
      <c r="I513" s="6">
        <v>0</v>
      </c>
    </row>
    <row r="514" spans="1:9" x14ac:dyDescent="0.35">
      <c r="A514" s="2">
        <v>344184</v>
      </c>
      <c r="B514" s="3" t="s">
        <v>530</v>
      </c>
      <c r="C514" s="2" t="s">
        <v>6</v>
      </c>
      <c r="D514" s="4" t="s">
        <v>39</v>
      </c>
      <c r="E514" s="5" t="s">
        <v>40</v>
      </c>
      <c r="F514" s="6">
        <f>SUMIF('MS SAP Dump'!$F$2:$F$603,$A514,'MS SAP Dump'!$D$2:$D$603)</f>
        <v>63</v>
      </c>
      <c r="G514" s="6">
        <v>103</v>
      </c>
      <c r="H514" s="6">
        <f>SUMIF('HSD SAP Dump'!$F$2:$F$602,$A514,'HSD SAP Dump'!$D$2:$D$602)</f>
        <v>119</v>
      </c>
      <c r="I514" s="6">
        <v>103</v>
      </c>
    </row>
    <row r="515" spans="1:9" x14ac:dyDescent="0.35">
      <c r="A515" s="2">
        <v>344195</v>
      </c>
      <c r="B515" s="3" t="s">
        <v>531</v>
      </c>
      <c r="C515" s="2" t="s">
        <v>6</v>
      </c>
      <c r="D515" s="4" t="s">
        <v>44</v>
      </c>
      <c r="E515" s="5" t="s">
        <v>40</v>
      </c>
      <c r="F515" s="6">
        <f>SUMIF('MS SAP Dump'!$F$2:$F$603,$A515,'MS SAP Dump'!$D$2:$D$603)</f>
        <v>30</v>
      </c>
      <c r="G515" s="6">
        <v>93</v>
      </c>
      <c r="H515" s="6">
        <f>SUMIF('HSD SAP Dump'!$F$2:$F$602,$A515,'HSD SAP Dump'!$D$2:$D$602)</f>
        <v>102</v>
      </c>
      <c r="I515" s="6">
        <v>93</v>
      </c>
    </row>
    <row r="516" spans="1:9" x14ac:dyDescent="0.35">
      <c r="A516" s="2">
        <v>344894</v>
      </c>
      <c r="B516" s="3" t="s">
        <v>532</v>
      </c>
      <c r="C516" s="2" t="s">
        <v>6</v>
      </c>
      <c r="D516" s="4" t="s">
        <v>47</v>
      </c>
      <c r="E516" s="5" t="s">
        <v>8</v>
      </c>
      <c r="F516" s="6">
        <f>SUMIF('MS SAP Dump'!$F$2:$F$603,$A516,'MS SAP Dump'!$D$2:$D$603)</f>
        <v>31</v>
      </c>
      <c r="G516" s="6">
        <v>54</v>
      </c>
      <c r="H516" s="6">
        <f>SUMIF('HSD SAP Dump'!$F$2:$F$602,$A516,'HSD SAP Dump'!$D$2:$D$602)</f>
        <v>57</v>
      </c>
      <c r="I516" s="6">
        <v>54</v>
      </c>
    </row>
    <row r="517" spans="1:9" x14ac:dyDescent="0.35">
      <c r="A517" s="2">
        <v>344908</v>
      </c>
      <c r="B517" s="3" t="s">
        <v>533</v>
      </c>
      <c r="C517" s="2" t="s">
        <v>6</v>
      </c>
      <c r="D517" s="4" t="s">
        <v>16</v>
      </c>
      <c r="E517" s="5" t="s">
        <v>17</v>
      </c>
      <c r="F517" s="6">
        <f>SUMIF('MS SAP Dump'!$F$2:$F$603,$A517,'MS SAP Dump'!$D$2:$D$603)</f>
        <v>39</v>
      </c>
      <c r="G517" s="6">
        <v>58</v>
      </c>
      <c r="H517" s="6">
        <f>SUMIF('HSD SAP Dump'!$F$2:$F$602,$A517,'HSD SAP Dump'!$D$2:$D$602)</f>
        <v>81</v>
      </c>
      <c r="I517" s="6">
        <v>58</v>
      </c>
    </row>
    <row r="518" spans="1:9" x14ac:dyDescent="0.35">
      <c r="A518" s="2">
        <v>344909</v>
      </c>
      <c r="B518" s="3" t="s">
        <v>534</v>
      </c>
      <c r="C518" s="2" t="s">
        <v>6</v>
      </c>
      <c r="D518" s="4" t="s">
        <v>44</v>
      </c>
      <c r="E518" s="5" t="s">
        <v>40</v>
      </c>
      <c r="F518" s="6">
        <f>SUMIF('MS SAP Dump'!$F$2:$F$603,$A518,'MS SAP Dump'!$D$2:$D$603)</f>
        <v>35</v>
      </c>
      <c r="G518" s="6">
        <v>45</v>
      </c>
      <c r="H518" s="6">
        <f>SUMIF('HSD SAP Dump'!$F$2:$F$602,$A518,'HSD SAP Dump'!$D$2:$D$602)</f>
        <v>85</v>
      </c>
      <c r="I518" s="6">
        <v>45</v>
      </c>
    </row>
    <row r="519" spans="1:9" x14ac:dyDescent="0.35">
      <c r="A519" s="2">
        <v>344916</v>
      </c>
      <c r="B519" s="3" t="s">
        <v>535</v>
      </c>
      <c r="C519" s="2" t="s">
        <v>6</v>
      </c>
      <c r="D519" s="4" t="s">
        <v>39</v>
      </c>
      <c r="E519" s="5" t="s">
        <v>40</v>
      </c>
      <c r="F519" s="6">
        <f>SUMIF('MS SAP Dump'!$F$2:$F$603,$A519,'MS SAP Dump'!$D$2:$D$603)</f>
        <v>12</v>
      </c>
      <c r="G519" s="6">
        <v>6</v>
      </c>
      <c r="H519" s="6">
        <f>SUMIF('HSD SAP Dump'!$F$2:$F$602,$A519,'HSD SAP Dump'!$D$2:$D$602)</f>
        <v>12</v>
      </c>
      <c r="I519" s="6">
        <v>6</v>
      </c>
    </row>
    <row r="520" spans="1:9" x14ac:dyDescent="0.35">
      <c r="A520" s="2">
        <v>344917</v>
      </c>
      <c r="B520" s="3" t="s">
        <v>536</v>
      </c>
      <c r="C520" s="2" t="s">
        <v>6</v>
      </c>
      <c r="D520" s="4" t="s">
        <v>47</v>
      </c>
      <c r="E520" s="5" t="s">
        <v>8</v>
      </c>
      <c r="F520" s="6">
        <f>SUMIF('MS SAP Dump'!$F$2:$F$603,$A520,'MS SAP Dump'!$D$2:$D$603)</f>
        <v>18</v>
      </c>
      <c r="G520" s="6">
        <v>54</v>
      </c>
      <c r="H520" s="6">
        <f>SUMIF('HSD SAP Dump'!$F$2:$F$602,$A520,'HSD SAP Dump'!$D$2:$D$602)</f>
        <v>42</v>
      </c>
      <c r="I520" s="6">
        <v>54</v>
      </c>
    </row>
    <row r="521" spans="1:9" x14ac:dyDescent="0.35">
      <c r="A521" s="2">
        <v>344981</v>
      </c>
      <c r="B521" s="3" t="s">
        <v>537</v>
      </c>
      <c r="C521" s="2" t="s">
        <v>6</v>
      </c>
      <c r="D521" s="4" t="s">
        <v>44</v>
      </c>
      <c r="E521" s="5" t="s">
        <v>40</v>
      </c>
      <c r="F521" s="6">
        <f>SUMIF('MS SAP Dump'!$F$2:$F$603,$A521,'MS SAP Dump'!$D$2:$D$603)</f>
        <v>25</v>
      </c>
      <c r="G521" s="6">
        <v>59</v>
      </c>
      <c r="H521" s="6">
        <f>SUMIF('HSD SAP Dump'!$F$2:$F$602,$A521,'HSD SAP Dump'!$D$2:$D$602)</f>
        <v>51</v>
      </c>
      <c r="I521" s="6">
        <v>59</v>
      </c>
    </row>
    <row r="522" spans="1:9" x14ac:dyDescent="0.35">
      <c r="A522" s="2">
        <v>344982</v>
      </c>
      <c r="B522" s="3" t="s">
        <v>538</v>
      </c>
      <c r="C522" s="2" t="s">
        <v>6</v>
      </c>
      <c r="D522" s="4" t="s">
        <v>14</v>
      </c>
      <c r="E522" s="5" t="s">
        <v>8</v>
      </c>
      <c r="F522" s="6">
        <f>SUMIF('MS SAP Dump'!$F$2:$F$603,$A522,'MS SAP Dump'!$D$2:$D$603)</f>
        <v>18</v>
      </c>
      <c r="G522" s="6">
        <v>33</v>
      </c>
      <c r="H522" s="6">
        <f>SUMIF('HSD SAP Dump'!$F$2:$F$602,$A522,'HSD SAP Dump'!$D$2:$D$602)</f>
        <v>30</v>
      </c>
      <c r="I522" s="6">
        <v>33</v>
      </c>
    </row>
    <row r="523" spans="1:9" x14ac:dyDescent="0.35">
      <c r="A523" s="2">
        <v>345565</v>
      </c>
      <c r="B523" s="3" t="s">
        <v>539</v>
      </c>
      <c r="C523" s="2" t="s">
        <v>6</v>
      </c>
      <c r="D523" s="4" t="s">
        <v>7</v>
      </c>
      <c r="E523" s="5" t="s">
        <v>8</v>
      </c>
      <c r="F523" s="6">
        <f>SUMIF('MS SAP Dump'!$F$2:$F$603,$A523,'MS SAP Dump'!$D$2:$D$603)</f>
        <v>30</v>
      </c>
      <c r="G523" s="6">
        <v>88</v>
      </c>
      <c r="H523" s="6">
        <f>SUMIF('HSD SAP Dump'!$F$2:$F$602,$A523,'HSD SAP Dump'!$D$2:$D$602)</f>
        <v>42</v>
      </c>
      <c r="I523" s="6">
        <v>88</v>
      </c>
    </row>
    <row r="524" spans="1:9" x14ac:dyDescent="0.35">
      <c r="A524" s="2">
        <v>345566</v>
      </c>
      <c r="B524" s="3" t="s">
        <v>540</v>
      </c>
      <c r="C524" s="2" t="s">
        <v>6</v>
      </c>
      <c r="D524" s="4" t="s">
        <v>19</v>
      </c>
      <c r="E524" s="5" t="s">
        <v>17</v>
      </c>
      <c r="F524" s="6">
        <f>SUMIF('MS SAP Dump'!$F$2:$F$603,$A524,'MS SAP Dump'!$D$2:$D$603)</f>
        <v>0</v>
      </c>
      <c r="G524" s="6">
        <v>0</v>
      </c>
      <c r="H524" s="6">
        <f>SUMIF('HSD SAP Dump'!$F$2:$F$602,$A524,'HSD SAP Dump'!$D$2:$D$602)</f>
        <v>0</v>
      </c>
      <c r="I524" s="6">
        <v>0</v>
      </c>
    </row>
    <row r="525" spans="1:9" x14ac:dyDescent="0.35">
      <c r="A525" s="2">
        <v>345608</v>
      </c>
      <c r="B525" s="3" t="s">
        <v>541</v>
      </c>
      <c r="C525" s="2" t="s">
        <v>6</v>
      </c>
      <c r="D525" s="4" t="s">
        <v>26</v>
      </c>
      <c r="E525" s="5" t="s">
        <v>17</v>
      </c>
      <c r="F525" s="6">
        <f>SUMIF('MS SAP Dump'!$F$2:$F$603,$A525,'MS SAP Dump'!$D$2:$D$603)</f>
        <v>19</v>
      </c>
      <c r="G525" s="6">
        <v>27</v>
      </c>
      <c r="H525" s="6">
        <f>SUMIF('HSD SAP Dump'!$F$2:$F$602,$A525,'HSD SAP Dump'!$D$2:$D$602)</f>
        <v>43</v>
      </c>
      <c r="I525" s="6">
        <v>27</v>
      </c>
    </row>
    <row r="526" spans="1:9" x14ac:dyDescent="0.35">
      <c r="A526" s="2">
        <v>345609</v>
      </c>
      <c r="B526" s="3" t="s">
        <v>542</v>
      </c>
      <c r="C526" s="2" t="s">
        <v>6</v>
      </c>
      <c r="D526" s="4" t="s">
        <v>52</v>
      </c>
      <c r="E526" s="5" t="s">
        <v>8</v>
      </c>
      <c r="F526" s="6">
        <f>SUMIF('MS SAP Dump'!$F$2:$F$603,$A526,'MS SAP Dump'!$D$2:$D$603)</f>
        <v>34</v>
      </c>
      <c r="G526" s="6">
        <v>105</v>
      </c>
      <c r="H526" s="6">
        <f>SUMIF('HSD SAP Dump'!$F$2:$F$602,$A526,'HSD SAP Dump'!$D$2:$D$602)</f>
        <v>138</v>
      </c>
      <c r="I526" s="6">
        <v>105</v>
      </c>
    </row>
    <row r="527" spans="1:9" x14ac:dyDescent="0.35">
      <c r="A527" s="2">
        <v>345611</v>
      </c>
      <c r="B527" s="3" t="s">
        <v>543</v>
      </c>
      <c r="C527" s="2" t="s">
        <v>6</v>
      </c>
      <c r="D527" s="4" t="s">
        <v>19</v>
      </c>
      <c r="E527" s="5" t="s">
        <v>17</v>
      </c>
      <c r="F527" s="6">
        <f>SUMIF('MS SAP Dump'!$F$2:$F$603,$A527,'MS SAP Dump'!$D$2:$D$603)</f>
        <v>12</v>
      </c>
      <c r="G527" s="6">
        <v>40</v>
      </c>
      <c r="H527" s="6">
        <f>SUMIF('HSD SAP Dump'!$F$2:$F$602,$A527,'HSD SAP Dump'!$D$2:$D$602)</f>
        <v>36</v>
      </c>
      <c r="I527" s="6">
        <v>40</v>
      </c>
    </row>
    <row r="528" spans="1:9" x14ac:dyDescent="0.35">
      <c r="A528" s="2">
        <v>345693</v>
      </c>
      <c r="B528" s="3" t="s">
        <v>544</v>
      </c>
      <c r="C528" s="2" t="s">
        <v>6</v>
      </c>
      <c r="D528" s="4" t="s">
        <v>7</v>
      </c>
      <c r="E528" s="5" t="s">
        <v>8</v>
      </c>
      <c r="F528" s="6">
        <f>SUMIF('MS SAP Dump'!$F$2:$F$603,$A528,'MS SAP Dump'!$D$2:$D$603)</f>
        <v>80</v>
      </c>
      <c r="G528" s="6">
        <v>56</v>
      </c>
      <c r="H528" s="6">
        <f>SUMIF('HSD SAP Dump'!$F$2:$F$602,$A528,'HSD SAP Dump'!$D$2:$D$602)</f>
        <v>90</v>
      </c>
      <c r="I528" s="6">
        <v>56</v>
      </c>
    </row>
    <row r="529" spans="1:9" x14ac:dyDescent="0.35">
      <c r="A529" s="2">
        <v>345706</v>
      </c>
      <c r="B529" s="3" t="s">
        <v>545</v>
      </c>
      <c r="C529" s="2" t="s">
        <v>6</v>
      </c>
      <c r="D529" s="4" t="s">
        <v>39</v>
      </c>
      <c r="E529" s="5" t="s">
        <v>40</v>
      </c>
      <c r="F529" s="6">
        <f>SUMIF('MS SAP Dump'!$F$2:$F$603,$A529,'MS SAP Dump'!$D$2:$D$603)</f>
        <v>3</v>
      </c>
      <c r="G529" s="6">
        <v>0</v>
      </c>
      <c r="H529" s="6">
        <f>SUMIF('HSD SAP Dump'!$F$2:$F$602,$A529,'HSD SAP Dump'!$D$2:$D$602)</f>
        <v>33</v>
      </c>
      <c r="I529" s="6">
        <v>0</v>
      </c>
    </row>
    <row r="530" spans="1:9" x14ac:dyDescent="0.35">
      <c r="A530" s="2">
        <v>368608</v>
      </c>
      <c r="B530" s="3" t="s">
        <v>546</v>
      </c>
      <c r="C530" s="2" t="s">
        <v>6</v>
      </c>
      <c r="D530" s="4" t="s">
        <v>16</v>
      </c>
      <c r="E530" s="5" t="s">
        <v>17</v>
      </c>
      <c r="F530" s="6">
        <f>SUMIF('MS SAP Dump'!$F$2:$F$603,$A530,'MS SAP Dump'!$D$2:$D$603)</f>
        <v>3</v>
      </c>
      <c r="G530" s="6">
        <v>6</v>
      </c>
      <c r="H530" s="6">
        <f>SUMIF('HSD SAP Dump'!$F$2:$F$602,$A530,'HSD SAP Dump'!$D$2:$D$602)</f>
        <v>41</v>
      </c>
      <c r="I530" s="6">
        <v>6</v>
      </c>
    </row>
    <row r="531" spans="1:9" x14ac:dyDescent="0.35">
      <c r="A531" s="2">
        <v>346336</v>
      </c>
      <c r="B531" s="3" t="s">
        <v>547</v>
      </c>
      <c r="C531" s="2" t="s">
        <v>6</v>
      </c>
      <c r="D531" s="4" t="s">
        <v>47</v>
      </c>
      <c r="E531" s="5" t="s">
        <v>8</v>
      </c>
      <c r="F531" s="6">
        <f>SUMIF('MS SAP Dump'!$F$2:$F$603,$A531,'MS SAP Dump'!$D$2:$D$603)</f>
        <v>20</v>
      </c>
      <c r="G531" s="6">
        <v>24</v>
      </c>
      <c r="H531" s="6">
        <f>SUMIF('HSD SAP Dump'!$F$2:$F$602,$A531,'HSD SAP Dump'!$D$2:$D$602)</f>
        <v>40</v>
      </c>
      <c r="I531" s="6">
        <v>24</v>
      </c>
    </row>
    <row r="532" spans="1:9" x14ac:dyDescent="0.35">
      <c r="A532" s="2">
        <v>346362</v>
      </c>
      <c r="B532" s="3" t="s">
        <v>548</v>
      </c>
      <c r="C532" s="2" t="s">
        <v>6</v>
      </c>
      <c r="D532" s="4" t="s">
        <v>47</v>
      </c>
      <c r="E532" s="5" t="s">
        <v>8</v>
      </c>
      <c r="F532" s="6">
        <f>SUMIF('MS SAP Dump'!$F$2:$F$603,$A532,'MS SAP Dump'!$D$2:$D$603)</f>
        <v>25</v>
      </c>
      <c r="G532" s="6">
        <v>62</v>
      </c>
      <c r="H532" s="6">
        <f>SUMIF('HSD SAP Dump'!$F$2:$F$602,$A532,'HSD SAP Dump'!$D$2:$D$602)</f>
        <v>59</v>
      </c>
      <c r="I532" s="6">
        <v>62</v>
      </c>
    </row>
    <row r="533" spans="1:9" x14ac:dyDescent="0.35">
      <c r="A533" s="2">
        <v>346363</v>
      </c>
      <c r="B533" s="3" t="s">
        <v>549</v>
      </c>
      <c r="C533" s="2" t="s">
        <v>6</v>
      </c>
      <c r="D533" s="4" t="s">
        <v>16</v>
      </c>
      <c r="E533" s="5" t="s">
        <v>17</v>
      </c>
      <c r="F533" s="6">
        <f>SUMIF('MS SAP Dump'!$F$2:$F$603,$A533,'MS SAP Dump'!$D$2:$D$603)</f>
        <v>33.5</v>
      </c>
      <c r="G533" s="6">
        <v>66</v>
      </c>
      <c r="H533" s="6">
        <f>SUMIF('HSD SAP Dump'!$F$2:$F$602,$A533,'HSD SAP Dump'!$D$2:$D$602)</f>
        <v>52.5</v>
      </c>
      <c r="I533" s="6">
        <v>66</v>
      </c>
    </row>
    <row r="534" spans="1:9" x14ac:dyDescent="0.35">
      <c r="A534" s="2">
        <v>346369</v>
      </c>
      <c r="B534" s="3" t="s">
        <v>550</v>
      </c>
      <c r="C534" s="2" t="s">
        <v>6</v>
      </c>
      <c r="D534" s="4" t="s">
        <v>10</v>
      </c>
      <c r="E534" s="5" t="s">
        <v>8</v>
      </c>
      <c r="F534" s="6">
        <f>SUMIF('MS SAP Dump'!$F$2:$F$603,$A534,'MS SAP Dump'!$D$2:$D$603)</f>
        <v>145</v>
      </c>
      <c r="G534" s="6">
        <v>123</v>
      </c>
      <c r="H534" s="6">
        <f>SUMIF('HSD SAP Dump'!$F$2:$F$602,$A534,'HSD SAP Dump'!$D$2:$D$602)</f>
        <v>115</v>
      </c>
      <c r="I534" s="6">
        <v>123</v>
      </c>
    </row>
    <row r="535" spans="1:9" x14ac:dyDescent="0.35">
      <c r="A535" s="2">
        <v>346397</v>
      </c>
      <c r="B535" s="3" t="s">
        <v>551</v>
      </c>
      <c r="C535" s="2" t="s">
        <v>6</v>
      </c>
      <c r="D535" s="4" t="s">
        <v>39</v>
      </c>
      <c r="E535" s="5" t="s">
        <v>40</v>
      </c>
      <c r="F535" s="6">
        <f>SUMIF('MS SAP Dump'!$F$2:$F$603,$A535,'MS SAP Dump'!$D$2:$D$603)</f>
        <v>87.5</v>
      </c>
      <c r="G535" s="6">
        <v>75</v>
      </c>
      <c r="H535" s="6">
        <f>SUMIF('HSD SAP Dump'!$F$2:$F$602,$A535,'HSD SAP Dump'!$D$2:$D$602)</f>
        <v>94.5</v>
      </c>
      <c r="I535" s="6">
        <v>75</v>
      </c>
    </row>
    <row r="536" spans="1:9" x14ac:dyDescent="0.35">
      <c r="A536" s="2">
        <v>346399</v>
      </c>
      <c r="B536" s="3" t="s">
        <v>552</v>
      </c>
      <c r="C536" s="2" t="s">
        <v>6</v>
      </c>
      <c r="D536" s="4" t="s">
        <v>7</v>
      </c>
      <c r="E536" s="5" t="s">
        <v>8</v>
      </c>
      <c r="F536" s="6">
        <f>SUMIF('MS SAP Dump'!$F$2:$F$603,$A536,'MS SAP Dump'!$D$2:$D$603)</f>
        <v>30</v>
      </c>
      <c r="G536" s="6">
        <v>48</v>
      </c>
      <c r="H536" s="6">
        <f>SUMIF('HSD SAP Dump'!$F$2:$F$602,$A536,'HSD SAP Dump'!$D$2:$D$602)</f>
        <v>54</v>
      </c>
      <c r="I536" s="6">
        <v>48</v>
      </c>
    </row>
    <row r="537" spans="1:9" x14ac:dyDescent="0.35">
      <c r="A537" s="2">
        <v>346403</v>
      </c>
      <c r="B537" s="3" t="s">
        <v>553</v>
      </c>
      <c r="C537" s="2" t="s">
        <v>6</v>
      </c>
      <c r="D537" s="4" t="s">
        <v>52</v>
      </c>
      <c r="E537" s="5" t="s">
        <v>8</v>
      </c>
      <c r="F537" s="6">
        <f>SUMIF('MS SAP Dump'!$F$2:$F$603,$A537,'MS SAP Dump'!$D$2:$D$603)</f>
        <v>80</v>
      </c>
      <c r="G537" s="6">
        <v>177</v>
      </c>
      <c r="H537" s="6">
        <f>SUMIF('HSD SAP Dump'!$F$2:$F$602,$A537,'HSD SAP Dump'!$D$2:$D$602)</f>
        <v>214</v>
      </c>
      <c r="I537" s="6">
        <v>177</v>
      </c>
    </row>
    <row r="538" spans="1:9" x14ac:dyDescent="0.35">
      <c r="A538" s="2">
        <v>347071</v>
      </c>
      <c r="B538" s="3" t="s">
        <v>554</v>
      </c>
      <c r="C538" s="2" t="s">
        <v>6</v>
      </c>
      <c r="D538" s="4" t="s">
        <v>16</v>
      </c>
      <c r="E538" s="5" t="s">
        <v>17</v>
      </c>
      <c r="F538" s="6">
        <f>SUMIF('MS SAP Dump'!$F$2:$F$603,$A538,'MS SAP Dump'!$D$2:$D$603)</f>
        <v>12</v>
      </c>
      <c r="G538" s="6">
        <v>33</v>
      </c>
      <c r="H538" s="6">
        <f>SUMIF('HSD SAP Dump'!$F$2:$F$602,$A538,'HSD SAP Dump'!$D$2:$D$602)</f>
        <v>32</v>
      </c>
      <c r="I538" s="6">
        <v>33</v>
      </c>
    </row>
    <row r="539" spans="1:9" x14ac:dyDescent="0.35">
      <c r="A539" s="2">
        <v>347361</v>
      </c>
      <c r="B539" s="3" t="s">
        <v>555</v>
      </c>
      <c r="C539" s="2" t="s">
        <v>6</v>
      </c>
      <c r="D539" s="4" t="s">
        <v>19</v>
      </c>
      <c r="E539" s="5" t="s">
        <v>17</v>
      </c>
      <c r="F539" s="6">
        <f>SUMIF('MS SAP Dump'!$F$2:$F$603,$A539,'MS SAP Dump'!$D$2:$D$603)</f>
        <v>28</v>
      </c>
      <c r="G539" s="6">
        <v>73</v>
      </c>
      <c r="H539" s="6">
        <f>SUMIF('HSD SAP Dump'!$F$2:$F$602,$A539,'HSD SAP Dump'!$D$2:$D$602)</f>
        <v>72</v>
      </c>
      <c r="I539" s="6">
        <v>73</v>
      </c>
    </row>
    <row r="540" spans="1:9" x14ac:dyDescent="0.35">
      <c r="A540" s="2">
        <v>347366</v>
      </c>
      <c r="B540" s="3" t="s">
        <v>556</v>
      </c>
      <c r="C540" s="2" t="s">
        <v>6</v>
      </c>
      <c r="D540" s="4" t="s">
        <v>52</v>
      </c>
      <c r="E540" s="5" t="s">
        <v>8</v>
      </c>
      <c r="F540" s="6">
        <f>SUMIF('MS SAP Dump'!$F$2:$F$603,$A540,'MS SAP Dump'!$D$2:$D$603)</f>
        <v>20</v>
      </c>
      <c r="G540" s="6">
        <v>265.5</v>
      </c>
      <c r="H540" s="6">
        <f>SUMIF('HSD SAP Dump'!$F$2:$F$602,$A540,'HSD SAP Dump'!$D$2:$D$602)</f>
        <v>130</v>
      </c>
      <c r="I540" s="6">
        <v>265.5</v>
      </c>
    </row>
    <row r="541" spans="1:9" x14ac:dyDescent="0.35">
      <c r="A541" s="2">
        <v>347370</v>
      </c>
      <c r="B541" s="3" t="s">
        <v>557</v>
      </c>
      <c r="C541" s="2" t="s">
        <v>6</v>
      </c>
      <c r="D541" s="4" t="s">
        <v>19</v>
      </c>
      <c r="E541" s="5" t="s">
        <v>17</v>
      </c>
      <c r="F541" s="6">
        <f>SUMIF('MS SAP Dump'!$F$2:$F$603,$A541,'MS SAP Dump'!$D$2:$D$603)</f>
        <v>26</v>
      </c>
      <c r="G541" s="6">
        <v>83</v>
      </c>
      <c r="H541" s="6">
        <f>SUMIF('HSD SAP Dump'!$F$2:$F$602,$A541,'HSD SAP Dump'!$D$2:$D$602)</f>
        <v>90</v>
      </c>
      <c r="I541" s="6">
        <v>83</v>
      </c>
    </row>
    <row r="542" spans="1:9" x14ac:dyDescent="0.35">
      <c r="A542" s="2">
        <v>347382</v>
      </c>
      <c r="B542" s="3" t="s">
        <v>558</v>
      </c>
      <c r="C542" s="2" t="s">
        <v>6</v>
      </c>
      <c r="D542" s="4" t="s">
        <v>44</v>
      </c>
      <c r="E542" s="5" t="s">
        <v>40</v>
      </c>
      <c r="F542" s="6">
        <f>SUMIF('MS SAP Dump'!$F$2:$F$603,$A542,'MS SAP Dump'!$D$2:$D$603)</f>
        <v>5</v>
      </c>
      <c r="G542" s="6">
        <v>22</v>
      </c>
      <c r="H542" s="6">
        <f>SUMIF('HSD SAP Dump'!$F$2:$F$602,$A542,'HSD SAP Dump'!$D$2:$D$602)</f>
        <v>5</v>
      </c>
      <c r="I542" s="6">
        <v>22</v>
      </c>
    </row>
    <row r="543" spans="1:9" x14ac:dyDescent="0.35">
      <c r="A543" s="2">
        <v>347383</v>
      </c>
      <c r="B543" s="3" t="s">
        <v>559</v>
      </c>
      <c r="C543" s="2" t="s">
        <v>6</v>
      </c>
      <c r="D543" s="4" t="s">
        <v>47</v>
      </c>
      <c r="E543" s="5" t="s">
        <v>8</v>
      </c>
      <c r="F543" s="6">
        <f>SUMIF('MS SAP Dump'!$F$2:$F$603,$A543,'MS SAP Dump'!$D$2:$D$603)</f>
        <v>19.5</v>
      </c>
      <c r="G543" s="6">
        <v>136</v>
      </c>
      <c r="H543" s="6">
        <f>SUMIF('HSD SAP Dump'!$F$2:$F$602,$A543,'HSD SAP Dump'!$D$2:$D$602)</f>
        <v>186.5</v>
      </c>
      <c r="I543" s="6">
        <v>136</v>
      </c>
    </row>
    <row r="544" spans="1:9" x14ac:dyDescent="0.35">
      <c r="A544" s="2">
        <v>347461</v>
      </c>
      <c r="B544" s="3" t="s">
        <v>560</v>
      </c>
      <c r="C544" s="2" t="s">
        <v>6</v>
      </c>
      <c r="D544" s="4" t="s">
        <v>7</v>
      </c>
      <c r="E544" s="5" t="s">
        <v>8</v>
      </c>
      <c r="F544" s="6">
        <f>SUMIF('MS SAP Dump'!$F$2:$F$603,$A544,'MS SAP Dump'!$D$2:$D$603)</f>
        <v>30</v>
      </c>
      <c r="G544" s="6">
        <v>30</v>
      </c>
      <c r="H544" s="6">
        <f>SUMIF('HSD SAP Dump'!$F$2:$F$602,$A544,'HSD SAP Dump'!$D$2:$D$602)</f>
        <v>42</v>
      </c>
      <c r="I544" s="6">
        <v>30</v>
      </c>
    </row>
    <row r="545" spans="1:9" x14ac:dyDescent="0.35">
      <c r="A545" s="2">
        <v>347490</v>
      </c>
      <c r="B545" s="3" t="s">
        <v>561</v>
      </c>
      <c r="C545" s="2" t="s">
        <v>6</v>
      </c>
      <c r="D545" s="4" t="s">
        <v>52</v>
      </c>
      <c r="E545" s="5" t="s">
        <v>8</v>
      </c>
      <c r="F545" s="6">
        <f>SUMIF('MS SAP Dump'!$F$2:$F$603,$A545,'MS SAP Dump'!$D$2:$D$603)</f>
        <v>18</v>
      </c>
      <c r="G545" s="6">
        <v>60</v>
      </c>
      <c r="H545" s="6">
        <f>SUMIF('HSD SAP Dump'!$F$2:$F$602,$A545,'HSD SAP Dump'!$D$2:$D$602)</f>
        <v>102</v>
      </c>
      <c r="I545" s="6">
        <v>60</v>
      </c>
    </row>
    <row r="546" spans="1:9" x14ac:dyDescent="0.35">
      <c r="A546" s="2">
        <v>347513</v>
      </c>
      <c r="B546" s="3" t="s">
        <v>562</v>
      </c>
      <c r="C546" s="2" t="s">
        <v>6</v>
      </c>
      <c r="D546" s="4" t="s">
        <v>12</v>
      </c>
      <c r="E546" s="5" t="s">
        <v>8</v>
      </c>
      <c r="F546" s="6">
        <f>SUMIF('MS SAP Dump'!$F$2:$F$603,$A546,'MS SAP Dump'!$D$2:$D$603)</f>
        <v>276.5</v>
      </c>
      <c r="G546" s="6">
        <v>77</v>
      </c>
      <c r="H546" s="6">
        <f>SUMIF('HSD SAP Dump'!$F$2:$F$602,$A546,'HSD SAP Dump'!$D$2:$D$602)</f>
        <v>87.5</v>
      </c>
      <c r="I546" s="6">
        <v>77</v>
      </c>
    </row>
    <row r="547" spans="1:9" x14ac:dyDescent="0.35">
      <c r="A547" s="2">
        <v>347526</v>
      </c>
      <c r="B547" s="3" t="s">
        <v>563</v>
      </c>
      <c r="C547" s="2" t="s">
        <v>6</v>
      </c>
      <c r="D547" s="4" t="s">
        <v>26</v>
      </c>
      <c r="E547" s="5" t="s">
        <v>17</v>
      </c>
      <c r="F547" s="6">
        <f>SUMIF('MS SAP Dump'!$F$2:$F$603,$A547,'MS SAP Dump'!$D$2:$D$603)</f>
        <v>20</v>
      </c>
      <c r="G547" s="6">
        <v>63</v>
      </c>
      <c r="H547" s="6">
        <f>SUMIF('HSD SAP Dump'!$F$2:$F$602,$A547,'HSD SAP Dump'!$D$2:$D$602)</f>
        <v>40</v>
      </c>
      <c r="I547" s="6">
        <v>63</v>
      </c>
    </row>
    <row r="548" spans="1:9" x14ac:dyDescent="0.35">
      <c r="A548" s="2">
        <v>348211</v>
      </c>
      <c r="B548" s="3" t="s">
        <v>564</v>
      </c>
      <c r="C548" s="2" t="s">
        <v>6</v>
      </c>
      <c r="D548" s="4" t="s">
        <v>52</v>
      </c>
      <c r="E548" s="5" t="s">
        <v>8</v>
      </c>
      <c r="F548" s="6">
        <f>SUMIF('MS SAP Dump'!$F$2:$F$603,$A548,'MS SAP Dump'!$D$2:$D$603)</f>
        <v>39</v>
      </c>
      <c r="G548" s="6">
        <v>102</v>
      </c>
      <c r="H548" s="6">
        <f>SUMIF('HSD SAP Dump'!$F$2:$F$602,$A548,'HSD SAP Dump'!$D$2:$D$602)</f>
        <v>93</v>
      </c>
      <c r="I548" s="6">
        <v>102</v>
      </c>
    </row>
    <row r="549" spans="1:9" x14ac:dyDescent="0.35">
      <c r="A549" s="2">
        <v>348890</v>
      </c>
      <c r="B549" s="3" t="s">
        <v>565</v>
      </c>
      <c r="C549" s="2" t="s">
        <v>6</v>
      </c>
      <c r="D549" s="4" t="s">
        <v>16</v>
      </c>
      <c r="E549" s="5" t="s">
        <v>17</v>
      </c>
      <c r="F549" s="6">
        <f>SUMIF('MS SAP Dump'!$F$2:$F$603,$A549,'MS SAP Dump'!$D$2:$D$603)</f>
        <v>40.5</v>
      </c>
      <c r="G549" s="6">
        <v>65.5</v>
      </c>
      <c r="H549" s="6">
        <f>SUMIF('HSD SAP Dump'!$F$2:$F$602,$A549,'HSD SAP Dump'!$D$2:$D$602)</f>
        <v>77.5</v>
      </c>
      <c r="I549" s="6">
        <v>65.5</v>
      </c>
    </row>
    <row r="550" spans="1:9" x14ac:dyDescent="0.35">
      <c r="A550" s="2">
        <v>349731</v>
      </c>
      <c r="B550" s="3" t="s">
        <v>566</v>
      </c>
      <c r="C550" s="2" t="s">
        <v>6</v>
      </c>
      <c r="D550" s="4" t="s">
        <v>7</v>
      </c>
      <c r="E550" s="5" t="s">
        <v>8</v>
      </c>
      <c r="F550" s="6">
        <f>SUMIF('MS SAP Dump'!$F$2:$F$603,$A550,'MS SAP Dump'!$D$2:$D$603)</f>
        <v>20</v>
      </c>
      <c r="G550" s="6">
        <v>37</v>
      </c>
      <c r="H550" s="6">
        <f>SUMIF('HSD SAP Dump'!$F$2:$F$602,$A550,'HSD SAP Dump'!$D$2:$D$602)</f>
        <v>30</v>
      </c>
      <c r="I550" s="6">
        <v>37</v>
      </c>
    </row>
    <row r="551" spans="1:9" x14ac:dyDescent="0.35">
      <c r="A551" s="2">
        <v>350290</v>
      </c>
      <c r="B551" s="3" t="s">
        <v>567</v>
      </c>
      <c r="C551" s="2" t="s">
        <v>6</v>
      </c>
      <c r="D551" s="4" t="s">
        <v>19</v>
      </c>
      <c r="E551" s="5" t="s">
        <v>17</v>
      </c>
      <c r="F551" s="6">
        <f>SUMIF('MS SAP Dump'!$F$2:$F$603,$A551,'MS SAP Dump'!$D$2:$D$603)</f>
        <v>0</v>
      </c>
      <c r="G551" s="6">
        <v>6</v>
      </c>
      <c r="H551" s="6">
        <f>SUMIF('HSD SAP Dump'!$F$2:$F$602,$A551,'HSD SAP Dump'!$D$2:$D$602)</f>
        <v>0</v>
      </c>
      <c r="I551" s="6">
        <v>6</v>
      </c>
    </row>
    <row r="552" spans="1:9" x14ac:dyDescent="0.35">
      <c r="A552" s="2">
        <v>350292</v>
      </c>
      <c r="B552" s="3" t="s">
        <v>568</v>
      </c>
      <c r="C552" s="2" t="s">
        <v>6</v>
      </c>
      <c r="D552" s="4" t="s">
        <v>52</v>
      </c>
      <c r="E552" s="5" t="s">
        <v>8</v>
      </c>
      <c r="F552" s="6">
        <f>SUMIF('MS SAP Dump'!$F$2:$F$603,$A552,'MS SAP Dump'!$D$2:$D$603)</f>
        <v>18</v>
      </c>
      <c r="G552" s="6">
        <v>92</v>
      </c>
      <c r="H552" s="6">
        <f>SUMIF('HSD SAP Dump'!$F$2:$F$602,$A552,'HSD SAP Dump'!$D$2:$D$602)</f>
        <v>54</v>
      </c>
      <c r="I552" s="6">
        <v>92</v>
      </c>
    </row>
    <row r="553" spans="1:9" x14ac:dyDescent="0.35">
      <c r="A553" s="2">
        <v>350765</v>
      </c>
      <c r="B553" s="3" t="s">
        <v>569</v>
      </c>
      <c r="C553" s="2" t="s">
        <v>6</v>
      </c>
      <c r="D553" s="4" t="s">
        <v>52</v>
      </c>
      <c r="E553" s="5" t="s">
        <v>8</v>
      </c>
      <c r="F553" s="6">
        <f>SUMIF('MS SAP Dump'!$F$2:$F$603,$A553,'MS SAP Dump'!$D$2:$D$603)</f>
        <v>0</v>
      </c>
      <c r="G553" s="6">
        <v>16</v>
      </c>
      <c r="H553" s="6">
        <f>SUMIF('HSD SAP Dump'!$F$2:$F$602,$A553,'HSD SAP Dump'!$D$2:$D$602)</f>
        <v>0</v>
      </c>
      <c r="I553" s="6">
        <v>16</v>
      </c>
    </row>
    <row r="554" spans="1:9" x14ac:dyDescent="0.35">
      <c r="A554" s="2">
        <v>350836</v>
      </c>
      <c r="B554" s="3" t="s">
        <v>570</v>
      </c>
      <c r="C554" s="2" t="s">
        <v>6</v>
      </c>
      <c r="D554" s="4" t="s">
        <v>47</v>
      </c>
      <c r="E554" s="5" t="s">
        <v>8</v>
      </c>
      <c r="F554" s="6">
        <f>SUMIF('MS SAP Dump'!$F$2:$F$603,$A554,'MS SAP Dump'!$D$2:$D$603)</f>
        <v>3</v>
      </c>
      <c r="G554" s="6">
        <v>33</v>
      </c>
      <c r="H554" s="6">
        <f>SUMIF('HSD SAP Dump'!$F$2:$F$602,$A554,'HSD SAP Dump'!$D$2:$D$602)</f>
        <v>9</v>
      </c>
      <c r="I554" s="6">
        <v>33</v>
      </c>
    </row>
    <row r="555" spans="1:9" x14ac:dyDescent="0.35">
      <c r="A555" s="2">
        <v>351541</v>
      </c>
      <c r="B555" s="3" t="s">
        <v>571</v>
      </c>
      <c r="C555" s="2" t="s">
        <v>6</v>
      </c>
      <c r="D555" s="4" t="s">
        <v>16</v>
      </c>
      <c r="E555" s="5" t="s">
        <v>17</v>
      </c>
      <c r="F555" s="6">
        <f>SUMIF('MS SAP Dump'!$F$2:$F$603,$A555,'MS SAP Dump'!$D$2:$D$603)</f>
        <v>46</v>
      </c>
      <c r="G555" s="6">
        <v>44.5</v>
      </c>
      <c r="H555" s="6">
        <f>SUMIF('HSD SAP Dump'!$F$2:$F$602,$A555,'HSD SAP Dump'!$D$2:$D$602)</f>
        <v>66</v>
      </c>
      <c r="I555" s="6">
        <v>44.5</v>
      </c>
    </row>
    <row r="556" spans="1:9" x14ac:dyDescent="0.35">
      <c r="A556" s="2">
        <v>352085</v>
      </c>
      <c r="B556" s="3" t="s">
        <v>572</v>
      </c>
      <c r="C556" s="2" t="s">
        <v>6</v>
      </c>
      <c r="D556" s="4" t="s">
        <v>44</v>
      </c>
      <c r="E556" s="5" t="s">
        <v>40</v>
      </c>
      <c r="F556" s="6">
        <f>SUMIF('MS SAP Dump'!$F$2:$F$603,$A556,'MS SAP Dump'!$D$2:$D$603)</f>
        <v>10</v>
      </c>
      <c r="G556" s="6">
        <v>89</v>
      </c>
      <c r="H556" s="6">
        <f>SUMIF('HSD SAP Dump'!$F$2:$F$602,$A556,'HSD SAP Dump'!$D$2:$D$602)</f>
        <v>80</v>
      </c>
      <c r="I556" s="6">
        <v>89</v>
      </c>
    </row>
    <row r="557" spans="1:9" x14ac:dyDescent="0.35">
      <c r="A557" s="2">
        <v>392222</v>
      </c>
      <c r="B557" s="3" t="s">
        <v>573</v>
      </c>
      <c r="C557" s="2" t="s">
        <v>6</v>
      </c>
      <c r="D557" s="4" t="s">
        <v>19</v>
      </c>
      <c r="E557" s="5" t="s">
        <v>17</v>
      </c>
      <c r="F557" s="6">
        <f>SUMIF('MS SAP Dump'!$F$2:$F$603,$A557,'MS SAP Dump'!$D$2:$D$603)</f>
        <v>8</v>
      </c>
      <c r="G557" s="6">
        <v>0</v>
      </c>
      <c r="H557" s="6">
        <f>SUMIF('HSD SAP Dump'!$F$2:$F$602,$A557,'HSD SAP Dump'!$D$2:$D$602)</f>
        <v>28</v>
      </c>
      <c r="I557" s="6">
        <v>0</v>
      </c>
    </row>
    <row r="558" spans="1:9" x14ac:dyDescent="0.35">
      <c r="A558" s="2">
        <v>352691</v>
      </c>
      <c r="B558" s="3" t="s">
        <v>574</v>
      </c>
      <c r="C558" s="2" t="s">
        <v>6</v>
      </c>
      <c r="D558" s="4" t="s">
        <v>39</v>
      </c>
      <c r="E558" s="5" t="s">
        <v>40</v>
      </c>
      <c r="F558" s="6">
        <f>SUMIF('MS SAP Dump'!$F$2:$F$603,$A558,'MS SAP Dump'!$D$2:$D$603)</f>
        <v>0</v>
      </c>
      <c r="G558" s="6">
        <v>33</v>
      </c>
      <c r="H558" s="6">
        <f>SUMIF('HSD SAP Dump'!$F$2:$F$602,$A558,'HSD SAP Dump'!$D$2:$D$602)</f>
        <v>0</v>
      </c>
      <c r="I558" s="6">
        <v>33</v>
      </c>
    </row>
    <row r="559" spans="1:9" x14ac:dyDescent="0.35">
      <c r="A559" s="2">
        <v>352692</v>
      </c>
      <c r="B559" s="3" t="s">
        <v>575</v>
      </c>
      <c r="C559" s="2" t="s">
        <v>6</v>
      </c>
      <c r="D559" s="4" t="s">
        <v>52</v>
      </c>
      <c r="E559" s="5" t="s">
        <v>8</v>
      </c>
      <c r="F559" s="6">
        <f>SUMIF('MS SAP Dump'!$F$2:$F$603,$A559,'MS SAP Dump'!$D$2:$D$603)</f>
        <v>9</v>
      </c>
      <c r="G559" s="6">
        <v>61</v>
      </c>
      <c r="H559" s="6">
        <f>SUMIF('HSD SAP Dump'!$F$2:$F$602,$A559,'HSD SAP Dump'!$D$2:$D$602)</f>
        <v>27</v>
      </c>
      <c r="I559" s="6">
        <v>61</v>
      </c>
    </row>
    <row r="560" spans="1:9" x14ac:dyDescent="0.35">
      <c r="A560" s="2">
        <v>352873</v>
      </c>
      <c r="B560" s="3" t="s">
        <v>576</v>
      </c>
      <c r="C560" s="2" t="s">
        <v>6</v>
      </c>
      <c r="D560" s="4" t="s">
        <v>16</v>
      </c>
      <c r="E560" s="5" t="s">
        <v>17</v>
      </c>
      <c r="F560" s="6">
        <f>SUMIF('MS SAP Dump'!$F$2:$F$603,$A560,'MS SAP Dump'!$D$2:$D$603)</f>
        <v>41</v>
      </c>
      <c r="G560" s="6">
        <v>97.5</v>
      </c>
      <c r="H560" s="6">
        <f>SUMIF('HSD SAP Dump'!$F$2:$F$602,$A560,'HSD SAP Dump'!$D$2:$D$602)</f>
        <v>127</v>
      </c>
      <c r="I560" s="6">
        <v>97.5</v>
      </c>
    </row>
    <row r="561" spans="1:9" x14ac:dyDescent="0.35">
      <c r="A561" s="2">
        <v>353015</v>
      </c>
      <c r="B561" s="3" t="s">
        <v>577</v>
      </c>
      <c r="C561" s="2" t="s">
        <v>6</v>
      </c>
      <c r="D561" s="4" t="s">
        <v>39</v>
      </c>
      <c r="E561" s="5" t="s">
        <v>40</v>
      </c>
      <c r="F561" s="6">
        <f>SUMIF('MS SAP Dump'!$F$2:$F$603,$A561,'MS SAP Dump'!$D$2:$D$603)</f>
        <v>69.5</v>
      </c>
      <c r="G561" s="6">
        <v>154</v>
      </c>
      <c r="H561" s="6">
        <f>SUMIF('HSD SAP Dump'!$F$2:$F$602,$A561,'HSD SAP Dump'!$D$2:$D$602)</f>
        <v>352.5</v>
      </c>
      <c r="I561" s="6">
        <v>154</v>
      </c>
    </row>
    <row r="562" spans="1:9" x14ac:dyDescent="0.35">
      <c r="A562" s="2">
        <v>353751</v>
      </c>
      <c r="B562" s="3" t="s">
        <v>578</v>
      </c>
      <c r="C562" s="2" t="s">
        <v>6</v>
      </c>
      <c r="D562" s="4" t="s">
        <v>19</v>
      </c>
      <c r="E562" s="5" t="s">
        <v>17</v>
      </c>
      <c r="F562" s="6">
        <f>SUMIF('MS SAP Dump'!$F$2:$F$603,$A562,'MS SAP Dump'!$D$2:$D$603)</f>
        <v>44.5</v>
      </c>
      <c r="G562" s="6">
        <v>116.5</v>
      </c>
      <c r="H562" s="6">
        <f>SUMIF('HSD SAP Dump'!$F$2:$F$602,$A562,'HSD SAP Dump'!$D$2:$D$602)</f>
        <v>147.5</v>
      </c>
      <c r="I562" s="6">
        <v>116.5</v>
      </c>
    </row>
    <row r="563" spans="1:9" x14ac:dyDescent="0.35">
      <c r="A563" s="2">
        <v>353803</v>
      </c>
      <c r="B563" s="3" t="s">
        <v>579</v>
      </c>
      <c r="C563" s="2" t="s">
        <v>6</v>
      </c>
      <c r="D563" s="4" t="s">
        <v>52</v>
      </c>
      <c r="E563" s="5" t="s">
        <v>8</v>
      </c>
      <c r="F563" s="6">
        <f>SUMIF('MS SAP Dump'!$F$2:$F$603,$A563,'MS SAP Dump'!$D$2:$D$603)</f>
        <v>0</v>
      </c>
      <c r="G563" s="6">
        <v>0</v>
      </c>
      <c r="H563" s="6">
        <f>SUMIF('HSD SAP Dump'!$F$2:$F$602,$A563,'HSD SAP Dump'!$D$2:$D$602)</f>
        <v>0</v>
      </c>
      <c r="I563" s="6">
        <v>0</v>
      </c>
    </row>
    <row r="564" spans="1:9" x14ac:dyDescent="0.35">
      <c r="A564" s="2">
        <v>354113</v>
      </c>
      <c r="B564" s="3" t="s">
        <v>580</v>
      </c>
      <c r="C564" s="2" t="s">
        <v>6</v>
      </c>
      <c r="D564" s="4" t="s">
        <v>52</v>
      </c>
      <c r="E564" s="5" t="s">
        <v>8</v>
      </c>
      <c r="F564" s="6">
        <f>SUMIF('MS SAP Dump'!$F$2:$F$603,$A564,'MS SAP Dump'!$D$2:$D$603)</f>
        <v>12</v>
      </c>
      <c r="G564" s="6">
        <v>24</v>
      </c>
      <c r="H564" s="6">
        <f>SUMIF('HSD SAP Dump'!$F$2:$F$602,$A564,'HSD SAP Dump'!$D$2:$D$602)</f>
        <v>12</v>
      </c>
      <c r="I564" s="6">
        <v>24</v>
      </c>
    </row>
    <row r="565" spans="1:9" x14ac:dyDescent="0.35">
      <c r="A565" s="2">
        <v>354271</v>
      </c>
      <c r="B565" s="3" t="s">
        <v>581</v>
      </c>
      <c r="C565" s="2" t="s">
        <v>6</v>
      </c>
      <c r="D565" s="4" t="s">
        <v>26</v>
      </c>
      <c r="E565" s="5" t="s">
        <v>17</v>
      </c>
      <c r="F565" s="6">
        <f>SUMIF('MS SAP Dump'!$F$2:$F$603,$A565,'MS SAP Dump'!$D$2:$D$603)</f>
        <v>25.5</v>
      </c>
      <c r="G565" s="6">
        <v>28</v>
      </c>
      <c r="H565" s="6">
        <f>SUMIF('HSD SAP Dump'!$F$2:$F$602,$A565,'HSD SAP Dump'!$D$2:$D$602)</f>
        <v>48.5</v>
      </c>
      <c r="I565" s="6">
        <v>28</v>
      </c>
    </row>
    <row r="566" spans="1:9" x14ac:dyDescent="0.35">
      <c r="A566" s="2">
        <v>354292</v>
      </c>
      <c r="B566" s="3" t="s">
        <v>582</v>
      </c>
      <c r="C566" s="2" t="s">
        <v>6</v>
      </c>
      <c r="D566" s="4" t="s">
        <v>7</v>
      </c>
      <c r="E566" s="5" t="s">
        <v>8</v>
      </c>
      <c r="F566" s="6">
        <f>SUMIF('MS SAP Dump'!$F$2:$F$603,$A566,'MS SAP Dump'!$D$2:$D$603)</f>
        <v>10.5</v>
      </c>
      <c r="G566" s="6">
        <v>69</v>
      </c>
      <c r="H566" s="6">
        <f>SUMIF('HSD SAP Dump'!$F$2:$F$602,$A566,'HSD SAP Dump'!$D$2:$D$602)</f>
        <v>143.5</v>
      </c>
      <c r="I566" s="6">
        <v>69</v>
      </c>
    </row>
    <row r="567" spans="1:9" x14ac:dyDescent="0.35">
      <c r="A567" s="2">
        <v>354309</v>
      </c>
      <c r="B567" s="3" t="s">
        <v>583</v>
      </c>
      <c r="C567" s="2" t="s">
        <v>6</v>
      </c>
      <c r="D567" s="4" t="s">
        <v>7</v>
      </c>
      <c r="E567" s="5" t="s">
        <v>8</v>
      </c>
      <c r="F567" s="6">
        <f>SUMIF('MS SAP Dump'!$F$2:$F$603,$A567,'MS SAP Dump'!$D$2:$D$603)</f>
        <v>24</v>
      </c>
      <c r="G567" s="6">
        <v>72</v>
      </c>
      <c r="H567" s="6">
        <f>SUMIF('HSD SAP Dump'!$F$2:$F$602,$A567,'HSD SAP Dump'!$D$2:$D$602)</f>
        <v>8</v>
      </c>
      <c r="I567" s="6">
        <v>72</v>
      </c>
    </row>
    <row r="568" spans="1:9" x14ac:dyDescent="0.35">
      <c r="A568" s="2">
        <v>354344</v>
      </c>
      <c r="B568" s="3" t="s">
        <v>584</v>
      </c>
      <c r="C568" s="2" t="s">
        <v>6</v>
      </c>
      <c r="D568" s="4" t="s">
        <v>44</v>
      </c>
      <c r="E568" s="5" t="s">
        <v>40</v>
      </c>
      <c r="F568" s="6">
        <f>SUMIF('MS SAP Dump'!$F$2:$F$603,$A568,'MS SAP Dump'!$D$2:$D$603)</f>
        <v>6</v>
      </c>
      <c r="G568" s="6">
        <v>12</v>
      </c>
      <c r="H568" s="6">
        <f>SUMIF('HSD SAP Dump'!$F$2:$F$602,$A568,'HSD SAP Dump'!$D$2:$D$602)</f>
        <v>6</v>
      </c>
      <c r="I568" s="6">
        <v>12</v>
      </c>
    </row>
    <row r="569" spans="1:9" x14ac:dyDescent="0.35">
      <c r="A569" s="2">
        <v>354443</v>
      </c>
      <c r="B569" s="3" t="s">
        <v>585</v>
      </c>
      <c r="C569" s="2" t="s">
        <v>6</v>
      </c>
      <c r="D569" s="4" t="s">
        <v>16</v>
      </c>
      <c r="E569" s="5" t="s">
        <v>17</v>
      </c>
      <c r="F569" s="6">
        <f>SUMIF('MS SAP Dump'!$F$2:$F$603,$A569,'MS SAP Dump'!$D$2:$D$603)</f>
        <v>15</v>
      </c>
      <c r="G569" s="6">
        <v>37.5</v>
      </c>
      <c r="H569" s="6">
        <f>SUMIF('HSD SAP Dump'!$F$2:$F$602,$A569,'HSD SAP Dump'!$D$2:$D$602)</f>
        <v>57</v>
      </c>
      <c r="I569" s="6">
        <v>37.5</v>
      </c>
    </row>
    <row r="570" spans="1:9" x14ac:dyDescent="0.35">
      <c r="A570" s="2">
        <v>354938</v>
      </c>
      <c r="B570" s="3" t="s">
        <v>586</v>
      </c>
      <c r="C570" s="2" t="s">
        <v>6</v>
      </c>
      <c r="D570" s="4" t="s">
        <v>26</v>
      </c>
      <c r="E570" s="5" t="s">
        <v>17</v>
      </c>
      <c r="F570" s="6">
        <f>SUMIF('MS SAP Dump'!$F$2:$F$603,$A570,'MS SAP Dump'!$D$2:$D$603)</f>
        <v>0</v>
      </c>
      <c r="G570" s="6">
        <v>4.5</v>
      </c>
      <c r="H570" s="6">
        <f>SUMIF('HSD SAP Dump'!$F$2:$F$602,$A570,'HSD SAP Dump'!$D$2:$D$602)</f>
        <v>0</v>
      </c>
      <c r="I570" s="6">
        <v>4.5</v>
      </c>
    </row>
    <row r="571" spans="1:9" x14ac:dyDescent="0.35">
      <c r="A571" s="2">
        <v>354967</v>
      </c>
      <c r="B571" s="3" t="s">
        <v>587</v>
      </c>
      <c r="C571" s="2" t="s">
        <v>6</v>
      </c>
      <c r="D571" s="4" t="s">
        <v>26</v>
      </c>
      <c r="E571" s="5" t="s">
        <v>17</v>
      </c>
      <c r="F571" s="6">
        <f>SUMIF('MS SAP Dump'!$F$2:$F$603,$A571,'MS SAP Dump'!$D$2:$D$603)</f>
        <v>18</v>
      </c>
      <c r="G571" s="6">
        <v>43</v>
      </c>
      <c r="H571" s="6">
        <f>SUMIF('HSD SAP Dump'!$F$2:$F$602,$A571,'HSD SAP Dump'!$D$2:$D$602)</f>
        <v>42</v>
      </c>
      <c r="I571" s="6">
        <v>43</v>
      </c>
    </row>
    <row r="572" spans="1:9" x14ac:dyDescent="0.35">
      <c r="A572" s="2">
        <v>355347</v>
      </c>
      <c r="B572" s="3" t="s">
        <v>588</v>
      </c>
      <c r="C572" s="2" t="s">
        <v>6</v>
      </c>
      <c r="D572" s="4" t="s">
        <v>10</v>
      </c>
      <c r="E572" s="5" t="s">
        <v>8</v>
      </c>
      <c r="F572" s="6">
        <f>SUMIF('MS SAP Dump'!$F$2:$F$603,$A572,'MS SAP Dump'!$D$2:$D$603)</f>
        <v>3</v>
      </c>
      <c r="G572" s="6">
        <v>24</v>
      </c>
      <c r="H572" s="6">
        <f>SUMIF('HSD SAP Dump'!$F$2:$F$602,$A572,'HSD SAP Dump'!$D$2:$D$602)</f>
        <v>9</v>
      </c>
      <c r="I572" s="6">
        <v>24</v>
      </c>
    </row>
    <row r="573" spans="1:9" x14ac:dyDescent="0.35">
      <c r="A573" s="2">
        <v>355348</v>
      </c>
      <c r="B573" s="3" t="s">
        <v>589</v>
      </c>
      <c r="C573" s="2" t="s">
        <v>6</v>
      </c>
      <c r="D573" s="4" t="s">
        <v>47</v>
      </c>
      <c r="E573" s="5" t="s">
        <v>8</v>
      </c>
      <c r="F573" s="6">
        <f>SUMIF('MS SAP Dump'!$F$2:$F$603,$A573,'MS SAP Dump'!$D$2:$D$603)</f>
        <v>15</v>
      </c>
      <c r="G573" s="6">
        <v>54</v>
      </c>
      <c r="H573" s="6">
        <f>SUMIF('HSD SAP Dump'!$F$2:$F$602,$A573,'HSD SAP Dump'!$D$2:$D$602)</f>
        <v>33</v>
      </c>
      <c r="I573" s="6">
        <v>54</v>
      </c>
    </row>
    <row r="574" spans="1:9" x14ac:dyDescent="0.35">
      <c r="A574" s="2">
        <v>355384</v>
      </c>
      <c r="B574" s="3" t="s">
        <v>590</v>
      </c>
      <c r="C574" s="2" t="s">
        <v>6</v>
      </c>
      <c r="D574" s="4" t="s">
        <v>52</v>
      </c>
      <c r="E574" s="5" t="s">
        <v>8</v>
      </c>
      <c r="F574" s="6">
        <f>SUMIF('MS SAP Dump'!$F$2:$F$603,$A574,'MS SAP Dump'!$D$2:$D$603)</f>
        <v>15</v>
      </c>
      <c r="G574" s="6">
        <v>54</v>
      </c>
      <c r="H574" s="6">
        <f>SUMIF('HSD SAP Dump'!$F$2:$F$602,$A574,'HSD SAP Dump'!$D$2:$D$602)</f>
        <v>81</v>
      </c>
      <c r="I574" s="6">
        <v>54</v>
      </c>
    </row>
    <row r="575" spans="1:9" x14ac:dyDescent="0.35">
      <c r="A575" s="2">
        <v>355582</v>
      </c>
      <c r="B575" s="3" t="s">
        <v>591</v>
      </c>
      <c r="C575" s="2" t="s">
        <v>6</v>
      </c>
      <c r="D575" s="4" t="s">
        <v>39</v>
      </c>
      <c r="E575" s="5" t="s">
        <v>40</v>
      </c>
      <c r="F575" s="6">
        <f>SUMIF('MS SAP Dump'!$F$2:$F$603,$A575,'MS SAP Dump'!$D$2:$D$603)</f>
        <v>15</v>
      </c>
      <c r="G575" s="6">
        <v>30</v>
      </c>
      <c r="H575" s="6">
        <f>SUMIF('HSD SAP Dump'!$F$2:$F$602,$A575,'HSD SAP Dump'!$D$2:$D$602)</f>
        <v>21</v>
      </c>
      <c r="I575" s="6">
        <v>30</v>
      </c>
    </row>
    <row r="576" spans="1:9" x14ac:dyDescent="0.35">
      <c r="A576" s="2">
        <v>379084</v>
      </c>
      <c r="B576" s="3" t="s">
        <v>592</v>
      </c>
      <c r="C576" s="2" t="s">
        <v>6</v>
      </c>
      <c r="D576" s="4" t="s">
        <v>12</v>
      </c>
      <c r="E576" s="5" t="s">
        <v>8</v>
      </c>
      <c r="F576" s="6">
        <f>SUMIF('MS SAP Dump'!$F$2:$F$603,$A576,'MS SAP Dump'!$D$2:$D$603)</f>
        <v>218.5</v>
      </c>
      <c r="G576" s="6">
        <v>92</v>
      </c>
      <c r="H576" s="6">
        <f>SUMIF('HSD SAP Dump'!$F$2:$F$602,$A576,'HSD SAP Dump'!$D$2:$D$602)</f>
        <v>79.5</v>
      </c>
      <c r="I576" s="6">
        <v>92</v>
      </c>
    </row>
    <row r="577" spans="1:9" x14ac:dyDescent="0.35">
      <c r="A577" s="2">
        <v>356386</v>
      </c>
      <c r="B577" s="3" t="s">
        <v>593</v>
      </c>
      <c r="C577" s="2" t="s">
        <v>6</v>
      </c>
      <c r="D577" s="4" t="s">
        <v>26</v>
      </c>
      <c r="E577" s="5" t="s">
        <v>17</v>
      </c>
      <c r="F577" s="6">
        <f>SUMIF('MS SAP Dump'!$F$2:$F$603,$A577,'MS SAP Dump'!$D$2:$D$603)</f>
        <v>19</v>
      </c>
      <c r="G577" s="6">
        <v>31</v>
      </c>
      <c r="H577" s="6">
        <f>SUMIF('HSD SAP Dump'!$F$2:$F$602,$A577,'HSD SAP Dump'!$D$2:$D$602)</f>
        <v>33</v>
      </c>
      <c r="I577" s="6">
        <v>31</v>
      </c>
    </row>
    <row r="578" spans="1:9" x14ac:dyDescent="0.35">
      <c r="A578" s="2">
        <v>356680</v>
      </c>
      <c r="B578" s="3" t="s">
        <v>594</v>
      </c>
      <c r="C578" s="2" t="s">
        <v>6</v>
      </c>
      <c r="D578" s="4" t="s">
        <v>7</v>
      </c>
      <c r="E578" s="5" t="s">
        <v>8</v>
      </c>
      <c r="F578" s="6">
        <f>SUMIF('MS SAP Dump'!$F$2:$F$603,$A578,'MS SAP Dump'!$D$2:$D$603)</f>
        <v>28</v>
      </c>
      <c r="G578" s="6">
        <v>60</v>
      </c>
      <c r="H578" s="6">
        <f>SUMIF('HSD SAP Dump'!$F$2:$F$602,$A578,'HSD SAP Dump'!$D$2:$D$602)</f>
        <v>84</v>
      </c>
      <c r="I578" s="6">
        <v>60</v>
      </c>
    </row>
    <row r="579" spans="1:9" x14ac:dyDescent="0.35">
      <c r="A579" s="2">
        <v>356681</v>
      </c>
      <c r="B579" s="3" t="s">
        <v>595</v>
      </c>
      <c r="C579" s="2" t="s">
        <v>6</v>
      </c>
      <c r="D579" s="4" t="s">
        <v>44</v>
      </c>
      <c r="E579" s="5" t="s">
        <v>40</v>
      </c>
      <c r="F579" s="6">
        <f>SUMIF('MS SAP Dump'!$F$2:$F$603,$A579,'MS SAP Dump'!$D$2:$D$603)</f>
        <v>45</v>
      </c>
      <c r="G579" s="6">
        <v>81</v>
      </c>
      <c r="H579" s="6">
        <f>SUMIF('HSD SAP Dump'!$F$2:$F$602,$A579,'HSD SAP Dump'!$D$2:$D$602)</f>
        <v>99</v>
      </c>
      <c r="I579" s="6">
        <v>81</v>
      </c>
    </row>
    <row r="580" spans="1:9" x14ac:dyDescent="0.35">
      <c r="A580" s="2">
        <v>358164</v>
      </c>
      <c r="B580" s="3" t="s">
        <v>596</v>
      </c>
      <c r="C580" s="2" t="s">
        <v>6</v>
      </c>
      <c r="D580" s="4" t="s">
        <v>19</v>
      </c>
      <c r="E580" s="5" t="s">
        <v>17</v>
      </c>
      <c r="F580" s="6">
        <f>SUMIF('MS SAP Dump'!$F$2:$F$603,$A580,'MS SAP Dump'!$D$2:$D$603)</f>
        <v>35</v>
      </c>
      <c r="G580" s="6">
        <v>6</v>
      </c>
      <c r="H580" s="6">
        <f>SUMIF('HSD SAP Dump'!$F$2:$F$602,$A580,'HSD SAP Dump'!$D$2:$D$602)</f>
        <v>75</v>
      </c>
      <c r="I580" s="6">
        <v>6</v>
      </c>
    </row>
    <row r="581" spans="1:9" x14ac:dyDescent="0.35">
      <c r="A581" s="2">
        <v>359225</v>
      </c>
      <c r="B581" s="3" t="s">
        <v>597</v>
      </c>
      <c r="C581" s="2" t="s">
        <v>6</v>
      </c>
      <c r="D581" s="4" t="s">
        <v>14</v>
      </c>
      <c r="E581" s="5" t="s">
        <v>8</v>
      </c>
      <c r="F581" s="6">
        <f>SUMIF('MS SAP Dump'!$F$2:$F$603,$A581,'MS SAP Dump'!$D$2:$D$603)</f>
        <v>3</v>
      </c>
      <c r="G581" s="6">
        <v>84</v>
      </c>
      <c r="H581" s="6">
        <f>SUMIF('HSD SAP Dump'!$F$2:$F$602,$A581,'HSD SAP Dump'!$D$2:$D$602)</f>
        <v>115</v>
      </c>
      <c r="I581" s="6">
        <v>84</v>
      </c>
    </row>
    <row r="582" spans="1:9" x14ac:dyDescent="0.35">
      <c r="A582" s="2">
        <v>359445</v>
      </c>
      <c r="B582" s="3" t="s">
        <v>598</v>
      </c>
      <c r="C582" s="2" t="s">
        <v>6</v>
      </c>
      <c r="D582" s="4" t="s">
        <v>52</v>
      </c>
      <c r="E582" s="5" t="s">
        <v>8</v>
      </c>
      <c r="F582" s="6">
        <f>SUMIF('MS SAP Dump'!$F$2:$F$603,$A582,'MS SAP Dump'!$D$2:$D$603)</f>
        <v>3</v>
      </c>
      <c r="G582" s="6">
        <v>52</v>
      </c>
      <c r="H582" s="6">
        <f>SUMIF('HSD SAP Dump'!$F$2:$F$602,$A582,'HSD SAP Dump'!$D$2:$D$602)</f>
        <v>9</v>
      </c>
      <c r="I582" s="6">
        <v>52</v>
      </c>
    </row>
    <row r="583" spans="1:9" x14ac:dyDescent="0.35">
      <c r="A583" s="2">
        <v>246627</v>
      </c>
      <c r="B583" s="3" t="s">
        <v>599</v>
      </c>
      <c r="C583" s="2" t="s">
        <v>6</v>
      </c>
      <c r="D583" s="4" t="s">
        <v>12</v>
      </c>
      <c r="E583" s="5" t="s">
        <v>8</v>
      </c>
      <c r="F583" s="6">
        <f>SUMIF('MS SAP Dump'!$F$2:$F$603,$A583,'MS SAP Dump'!$D$2:$D$603)</f>
        <v>299.5</v>
      </c>
      <c r="G583" s="6">
        <v>97.5</v>
      </c>
      <c r="H583" s="6">
        <f>SUMIF('HSD SAP Dump'!$F$2:$F$602,$A583,'HSD SAP Dump'!$D$2:$D$602)</f>
        <v>88.5</v>
      </c>
      <c r="I583" s="6">
        <v>97.5</v>
      </c>
    </row>
    <row r="584" spans="1:9" x14ac:dyDescent="0.35">
      <c r="A584" s="2">
        <v>360731</v>
      </c>
      <c r="B584" s="3" t="s">
        <v>600</v>
      </c>
      <c r="C584" s="2" t="s">
        <v>6</v>
      </c>
      <c r="D584" s="4" t="s">
        <v>47</v>
      </c>
      <c r="E584" s="5" t="s">
        <v>8</v>
      </c>
      <c r="F584" s="6">
        <f>SUMIF('MS SAP Dump'!$F$2:$F$603,$A584,'MS SAP Dump'!$D$2:$D$603)</f>
        <v>37</v>
      </c>
      <c r="G584" s="6">
        <v>84</v>
      </c>
      <c r="H584" s="6">
        <f>SUMIF('HSD SAP Dump'!$F$2:$F$602,$A584,'HSD SAP Dump'!$D$2:$D$602)</f>
        <v>59</v>
      </c>
      <c r="I584" s="6">
        <v>84</v>
      </c>
    </row>
    <row r="585" spans="1:9" x14ac:dyDescent="0.35">
      <c r="A585" s="2">
        <v>361682</v>
      </c>
      <c r="B585" s="3" t="s">
        <v>601</v>
      </c>
      <c r="C585" s="2" t="s">
        <v>6</v>
      </c>
      <c r="D585" s="4" t="s">
        <v>14</v>
      </c>
      <c r="E585" s="5" t="s">
        <v>8</v>
      </c>
      <c r="F585" s="6">
        <f>SUMIF('MS SAP Dump'!$F$2:$F$603,$A585,'MS SAP Dump'!$D$2:$D$603)</f>
        <v>100</v>
      </c>
      <c r="G585" s="6">
        <v>123</v>
      </c>
      <c r="H585" s="6">
        <f>SUMIF('HSD SAP Dump'!$F$2:$F$602,$A585,'HSD SAP Dump'!$D$2:$D$602)</f>
        <v>124</v>
      </c>
      <c r="I585" s="6">
        <v>123</v>
      </c>
    </row>
    <row r="586" spans="1:9" x14ac:dyDescent="0.35">
      <c r="A586" s="2">
        <v>385847</v>
      </c>
      <c r="B586" s="3" t="s">
        <v>602</v>
      </c>
      <c r="C586" s="2" t="s">
        <v>6</v>
      </c>
      <c r="D586" s="4" t="s">
        <v>39</v>
      </c>
      <c r="E586" s="5" t="s">
        <v>40</v>
      </c>
      <c r="F586" s="6">
        <f>SUMIF('MS SAP Dump'!$F$2:$F$603,$A586,'MS SAP Dump'!$D$2:$D$603)</f>
        <v>18</v>
      </c>
      <c r="G586" s="6">
        <v>0</v>
      </c>
      <c r="H586" s="6">
        <f>SUMIF('HSD SAP Dump'!$F$2:$F$602,$A586,'HSD SAP Dump'!$D$2:$D$602)</f>
        <v>18</v>
      </c>
      <c r="I586" s="6">
        <v>0</v>
      </c>
    </row>
    <row r="587" spans="1:9" x14ac:dyDescent="0.35">
      <c r="A587" s="2">
        <v>362531</v>
      </c>
      <c r="B587" s="3" t="s">
        <v>603</v>
      </c>
      <c r="C587" s="2" t="s">
        <v>6</v>
      </c>
      <c r="D587" s="4" t="s">
        <v>26</v>
      </c>
      <c r="E587" s="5" t="s">
        <v>17</v>
      </c>
      <c r="F587" s="6">
        <f>SUMIF('MS SAP Dump'!$F$2:$F$603,$A587,'MS SAP Dump'!$D$2:$D$603)</f>
        <v>21.5</v>
      </c>
      <c r="G587" s="6">
        <v>131</v>
      </c>
      <c r="H587" s="6">
        <f>SUMIF('HSD SAP Dump'!$F$2:$F$602,$A587,'HSD SAP Dump'!$D$2:$D$602)</f>
        <v>172.5</v>
      </c>
      <c r="I587" s="6">
        <v>131</v>
      </c>
    </row>
    <row r="588" spans="1:9" x14ac:dyDescent="0.35">
      <c r="A588" s="2">
        <v>362532</v>
      </c>
      <c r="B588" s="3" t="s">
        <v>604</v>
      </c>
      <c r="C588" s="2" t="s">
        <v>6</v>
      </c>
      <c r="D588" s="4" t="s">
        <v>39</v>
      </c>
      <c r="E588" s="5" t="s">
        <v>40</v>
      </c>
      <c r="F588" s="6">
        <f>SUMIF('MS SAP Dump'!$F$2:$F$603,$A588,'MS SAP Dump'!$D$2:$D$603)</f>
        <v>18</v>
      </c>
      <c r="G588" s="6">
        <v>32</v>
      </c>
      <c r="H588" s="6">
        <f>SUMIF('HSD SAP Dump'!$F$2:$F$602,$A588,'HSD SAP Dump'!$D$2:$D$602)</f>
        <v>18</v>
      </c>
      <c r="I588" s="6">
        <v>32</v>
      </c>
    </row>
    <row r="589" spans="1:9" x14ac:dyDescent="0.35">
      <c r="A589" s="2">
        <v>363282</v>
      </c>
      <c r="B589" s="3" t="s">
        <v>605</v>
      </c>
      <c r="C589" s="2" t="s">
        <v>6</v>
      </c>
      <c r="D589" s="4" t="s">
        <v>44</v>
      </c>
      <c r="E589" s="5" t="s">
        <v>40</v>
      </c>
      <c r="F589" s="6">
        <f>SUMIF('MS SAP Dump'!$F$2:$F$603,$A589,'MS SAP Dump'!$D$2:$D$603)</f>
        <v>28</v>
      </c>
      <c r="G589" s="6">
        <v>32</v>
      </c>
      <c r="H589" s="6">
        <f>SUMIF('HSD SAP Dump'!$F$2:$F$602,$A589,'HSD SAP Dump'!$D$2:$D$602)</f>
        <v>40</v>
      </c>
      <c r="I589" s="6">
        <v>32</v>
      </c>
    </row>
    <row r="590" spans="1:9" x14ac:dyDescent="0.35">
      <c r="A590" s="2">
        <v>386575</v>
      </c>
      <c r="B590" s="3" t="s">
        <v>606</v>
      </c>
      <c r="C590" s="2" t="s">
        <v>6</v>
      </c>
      <c r="D590" s="4" t="s">
        <v>16</v>
      </c>
      <c r="E590" s="5" t="s">
        <v>17</v>
      </c>
      <c r="F590" s="6">
        <f>SUMIF('MS SAP Dump'!$F$2:$F$603,$A590,'MS SAP Dump'!$D$2:$D$603)</f>
        <v>36</v>
      </c>
      <c r="G590" s="6">
        <v>39</v>
      </c>
      <c r="H590" s="6">
        <f>SUMIF('HSD SAP Dump'!$F$2:$F$602,$A590,'HSD SAP Dump'!$D$2:$D$602)</f>
        <v>60</v>
      </c>
      <c r="I590" s="6">
        <v>39</v>
      </c>
    </row>
    <row r="591" spans="1:9" x14ac:dyDescent="0.35">
      <c r="A591" s="2">
        <v>374090</v>
      </c>
      <c r="B591" s="3" t="s">
        <v>607</v>
      </c>
      <c r="C591" s="2" t="s">
        <v>6</v>
      </c>
      <c r="D591" s="4" t="s">
        <v>12</v>
      </c>
      <c r="E591" s="5" t="s">
        <v>8</v>
      </c>
      <c r="F591" s="6">
        <f>SUMIF('MS SAP Dump'!$F$2:$F$603,$A591,'MS SAP Dump'!$D$2:$D$603)</f>
        <v>114</v>
      </c>
      <c r="G591" s="6">
        <v>86</v>
      </c>
      <c r="H591" s="6">
        <f>SUMIF('HSD SAP Dump'!$F$2:$F$602,$A591,'HSD SAP Dump'!$D$2:$D$602)</f>
        <v>120</v>
      </c>
      <c r="I591" s="6">
        <v>86</v>
      </c>
    </row>
    <row r="592" spans="1:9" x14ac:dyDescent="0.35">
      <c r="A592" s="2">
        <v>363424</v>
      </c>
      <c r="B592" s="3" t="s">
        <v>608</v>
      </c>
      <c r="C592" s="2" t="s">
        <v>6</v>
      </c>
      <c r="D592" s="4" t="s">
        <v>44</v>
      </c>
      <c r="E592" s="5" t="s">
        <v>40</v>
      </c>
      <c r="F592" s="6">
        <f>SUMIF('MS SAP Dump'!$F$2:$F$603,$A592,'MS SAP Dump'!$D$2:$D$603)</f>
        <v>54</v>
      </c>
      <c r="G592" s="6">
        <v>67.5</v>
      </c>
      <c r="H592" s="6">
        <f>SUMIF('HSD SAP Dump'!$F$2:$F$602,$A592,'HSD SAP Dump'!$D$2:$D$602)</f>
        <v>120</v>
      </c>
      <c r="I592" s="6">
        <v>67.5</v>
      </c>
    </row>
    <row r="593" spans="1:9" x14ac:dyDescent="0.35">
      <c r="A593" s="2">
        <v>379095</v>
      </c>
      <c r="B593" s="3" t="s">
        <v>609</v>
      </c>
      <c r="C593" s="2" t="s">
        <v>6</v>
      </c>
      <c r="D593" s="4" t="s">
        <v>52</v>
      </c>
      <c r="E593" s="5" t="s">
        <v>8</v>
      </c>
      <c r="F593" s="6">
        <f>SUMIF('MS SAP Dump'!$F$2:$F$603,$A593,'MS SAP Dump'!$D$2:$D$603)</f>
        <v>0</v>
      </c>
      <c r="G593" s="6">
        <v>0</v>
      </c>
      <c r="H593" s="6">
        <f>SUMIF('HSD SAP Dump'!$F$2:$F$602,$A593,'HSD SAP Dump'!$D$2:$D$602)</f>
        <v>12</v>
      </c>
      <c r="I593" s="6">
        <v>0</v>
      </c>
    </row>
    <row r="594" spans="1:9" x14ac:dyDescent="0.35">
      <c r="A594" s="2">
        <v>504556</v>
      </c>
      <c r="B594" s="3" t="s">
        <v>610</v>
      </c>
      <c r="C594" s="2" t="s">
        <v>6</v>
      </c>
      <c r="D594" s="4" t="s">
        <v>12</v>
      </c>
      <c r="E594" s="5" t="s">
        <v>8</v>
      </c>
      <c r="F594" s="6">
        <f>SUMIF('MS SAP Dump'!$F$2:$F$603,$A594,'MS SAP Dump'!$D$2:$D$603)</f>
        <v>180</v>
      </c>
      <c r="G594" s="6">
        <v>0</v>
      </c>
      <c r="H594" s="6">
        <f>SUMIF('HSD SAP Dump'!$F$2:$F$602,$A594,'HSD SAP Dump'!$D$2:$D$602)</f>
        <v>0</v>
      </c>
      <c r="I594" s="6">
        <v>0</v>
      </c>
    </row>
    <row r="595" spans="1:9" x14ac:dyDescent="0.35">
      <c r="A595" s="2">
        <v>524929</v>
      </c>
      <c r="B595" s="3" t="s">
        <v>611</v>
      </c>
      <c r="C595" s="2" t="s">
        <v>6</v>
      </c>
      <c r="D595" s="4" t="s">
        <v>47</v>
      </c>
      <c r="E595" s="5" t="s">
        <v>8</v>
      </c>
      <c r="F595" s="6">
        <f>SUMIF('MS SAP Dump'!$F$2:$F$603,$A595,'MS SAP Dump'!$D$2:$D$603)</f>
        <v>0</v>
      </c>
      <c r="G595" s="6">
        <v>0</v>
      </c>
      <c r="H595" s="6">
        <f>SUMIF('HSD SAP Dump'!$F$2:$F$602,$A595,'HSD SAP Dump'!$D$2:$D$602)</f>
        <v>0</v>
      </c>
      <c r="I595" s="6">
        <v>0</v>
      </c>
    </row>
    <row r="596" spans="1:9" x14ac:dyDescent="0.35">
      <c r="A596" s="2">
        <v>524930</v>
      </c>
      <c r="B596" s="3" t="s">
        <v>612</v>
      </c>
      <c r="C596" s="2" t="s">
        <v>6</v>
      </c>
      <c r="D596" s="4" t="s">
        <v>10</v>
      </c>
      <c r="E596" s="5" t="s">
        <v>8</v>
      </c>
      <c r="F596" s="6">
        <f>SUMIF('MS SAP Dump'!$F$2:$F$603,$A596,'MS SAP Dump'!$D$2:$D$603)</f>
        <v>0</v>
      </c>
      <c r="G596" s="6">
        <v>312</v>
      </c>
      <c r="H596" s="6">
        <f>SUMIF('HSD SAP Dump'!$F$2:$F$602,$A596,'HSD SAP Dump'!$D$2:$D$602)</f>
        <v>336</v>
      </c>
      <c r="I596" s="6">
        <v>312</v>
      </c>
    </row>
    <row r="597" spans="1:9" x14ac:dyDescent="0.35">
      <c r="A597" s="2">
        <v>367894</v>
      </c>
      <c r="B597" s="3" t="s">
        <v>613</v>
      </c>
      <c r="C597" s="2" t="s">
        <v>6</v>
      </c>
      <c r="D597" s="3" t="s">
        <v>47</v>
      </c>
      <c r="E597" s="5" t="s">
        <v>8</v>
      </c>
      <c r="F597" s="6">
        <f>SUMIF('MS SAP Dump'!$F$2:$F$603,$A597,'MS SAP Dump'!$D$2:$D$603)</f>
        <v>15</v>
      </c>
      <c r="G597" s="6">
        <v>77</v>
      </c>
      <c r="H597" s="6">
        <f>SUMIF('HSD SAP Dump'!$F$2:$F$602,$A597,'HSD SAP Dump'!$D$2:$D$602)</f>
        <v>45</v>
      </c>
      <c r="I597" s="6">
        <v>77</v>
      </c>
    </row>
    <row r="598" spans="1:9" x14ac:dyDescent="0.35">
      <c r="A598" s="2">
        <v>369442</v>
      </c>
      <c r="B598" s="3" t="s">
        <v>614</v>
      </c>
      <c r="C598" s="2" t="s">
        <v>6</v>
      </c>
      <c r="D598" s="4" t="s">
        <v>44</v>
      </c>
      <c r="E598" s="5" t="s">
        <v>40</v>
      </c>
      <c r="F598" s="6">
        <f>SUMIF('MS SAP Dump'!$F$2:$F$603,$A598,'MS SAP Dump'!$D$2:$D$603)</f>
        <v>54</v>
      </c>
      <c r="G598" s="6">
        <v>69</v>
      </c>
      <c r="H598" s="6">
        <f>SUMIF('HSD SAP Dump'!$F$2:$F$602,$A598,'HSD SAP Dump'!$D$2:$D$602)</f>
        <v>126</v>
      </c>
      <c r="I598" s="6">
        <v>69</v>
      </c>
    </row>
    <row r="599" spans="1:9" x14ac:dyDescent="0.35">
      <c r="A599" s="2">
        <v>369443</v>
      </c>
      <c r="B599" s="3" t="s">
        <v>615</v>
      </c>
      <c r="C599" s="2" t="s">
        <v>6</v>
      </c>
      <c r="D599" s="4" t="s">
        <v>44</v>
      </c>
      <c r="E599" s="5" t="s">
        <v>40</v>
      </c>
      <c r="F599" s="6">
        <f>SUMIF('MS SAP Dump'!$F$2:$F$603,$A599,'MS SAP Dump'!$D$2:$D$603)</f>
        <v>20</v>
      </c>
      <c r="G599" s="6">
        <v>71.5</v>
      </c>
      <c r="H599" s="6">
        <f>SUMIF('HSD SAP Dump'!$F$2:$F$602,$A599,'HSD SAP Dump'!$D$2:$D$602)</f>
        <v>92</v>
      </c>
      <c r="I599" s="6">
        <v>71.5</v>
      </c>
    </row>
    <row r="600" spans="1:9" x14ac:dyDescent="0.35">
      <c r="A600" s="2">
        <v>370143</v>
      </c>
      <c r="B600" s="3" t="s">
        <v>616</v>
      </c>
      <c r="C600" s="2" t="s">
        <v>6</v>
      </c>
      <c r="D600" s="4" t="s">
        <v>44</v>
      </c>
      <c r="E600" s="5" t="s">
        <v>40</v>
      </c>
      <c r="F600" s="6">
        <f>SUMIF('MS SAP Dump'!$F$2:$F$603,$A600,'MS SAP Dump'!$D$2:$D$603)</f>
        <v>25</v>
      </c>
      <c r="G600" s="6">
        <v>63</v>
      </c>
      <c r="H600" s="6">
        <f>SUMIF('HSD SAP Dump'!$F$2:$F$602,$A600,'HSD SAP Dump'!$D$2:$D$602)</f>
        <v>87</v>
      </c>
      <c r="I600" s="6">
        <v>63</v>
      </c>
    </row>
    <row r="601" spans="1:9" x14ac:dyDescent="0.35">
      <c r="A601" s="2">
        <v>369441</v>
      </c>
      <c r="B601" s="3" t="s">
        <v>617</v>
      </c>
      <c r="C601" s="2" t="s">
        <v>6</v>
      </c>
      <c r="D601" s="3" t="s">
        <v>26</v>
      </c>
      <c r="E601" s="5" t="s">
        <v>17</v>
      </c>
      <c r="F601" s="6">
        <f>SUMIF('MS SAP Dump'!$F$2:$F$603,$A601,'MS SAP Dump'!$D$2:$D$603)</f>
        <v>73.5</v>
      </c>
      <c r="G601" s="6">
        <v>29</v>
      </c>
      <c r="H601" s="6">
        <f>SUMIF('HSD SAP Dump'!$F$2:$F$602,$A601,'HSD SAP Dump'!$D$2:$D$602)</f>
        <v>44.5</v>
      </c>
      <c r="I601" s="6">
        <v>29</v>
      </c>
    </row>
    <row r="602" spans="1:9" x14ac:dyDescent="0.35">
      <c r="A602" s="2">
        <v>371006</v>
      </c>
      <c r="B602" s="3" t="s">
        <v>618</v>
      </c>
      <c r="C602" s="2" t="s">
        <v>6</v>
      </c>
      <c r="D602" s="4" t="s">
        <v>44</v>
      </c>
      <c r="E602" s="5" t="s">
        <v>40</v>
      </c>
      <c r="F602" s="6">
        <f>SUMIF('MS SAP Dump'!$F$2:$F$603,$A602,'MS SAP Dump'!$D$2:$D$603)</f>
        <v>6</v>
      </c>
      <c r="G602" s="6">
        <v>0</v>
      </c>
      <c r="H602" s="6">
        <f>SUMIF('HSD SAP Dump'!$F$2:$F$602,$A602,'HSD SAP Dump'!$D$2:$D$602)</f>
        <v>18</v>
      </c>
      <c r="I602" s="6">
        <v>0</v>
      </c>
    </row>
    <row r="603" spans="1:9" x14ac:dyDescent="0.35">
      <c r="A603" s="2">
        <v>371924</v>
      </c>
      <c r="B603" s="3" t="s">
        <v>619</v>
      </c>
      <c r="C603" s="2" t="s">
        <v>6</v>
      </c>
      <c r="D603" s="4" t="s">
        <v>44</v>
      </c>
      <c r="E603" s="5" t="s">
        <v>40</v>
      </c>
      <c r="F603" s="6">
        <f>SUMIF('MS SAP Dump'!$F$2:$F$603,$A603,'MS SAP Dump'!$D$2:$D$603)</f>
        <v>45.5</v>
      </c>
      <c r="G603" s="6">
        <v>0</v>
      </c>
      <c r="H603" s="6">
        <f>SUMIF('HSD SAP Dump'!$F$2:$F$602,$A603,'HSD SAP Dump'!$D$2:$D$602)</f>
        <v>86.5</v>
      </c>
      <c r="I603" s="6">
        <v>0</v>
      </c>
    </row>
    <row r="604" spans="1:9" x14ac:dyDescent="0.35">
      <c r="A604" s="2">
        <v>372701</v>
      </c>
      <c r="B604" s="3" t="s">
        <v>620</v>
      </c>
      <c r="C604" s="2" t="s">
        <v>6</v>
      </c>
      <c r="D604" s="3" t="s">
        <v>7</v>
      </c>
      <c r="E604" s="5" t="s">
        <v>8</v>
      </c>
      <c r="F604" s="6">
        <f>SUMIF('MS SAP Dump'!$F$2:$F$603,$A604,'MS SAP Dump'!$D$2:$D$603)</f>
        <v>35</v>
      </c>
      <c r="G604" s="6">
        <v>30</v>
      </c>
      <c r="H604" s="6">
        <f>SUMIF('HSD SAP Dump'!$F$2:$F$602,$A604,'HSD SAP Dump'!$D$2:$D$602)</f>
        <v>91</v>
      </c>
      <c r="I604" s="6">
        <v>30</v>
      </c>
    </row>
    <row r="605" spans="1:9" x14ac:dyDescent="0.35">
      <c r="A605" s="2">
        <v>372702</v>
      </c>
      <c r="B605" s="3" t="s">
        <v>621</v>
      </c>
      <c r="C605" s="2" t="s">
        <v>6</v>
      </c>
      <c r="D605" s="3" t="s">
        <v>7</v>
      </c>
      <c r="E605" s="5" t="s">
        <v>8</v>
      </c>
      <c r="F605" s="6">
        <f>SUMIF('MS SAP Dump'!$F$2:$F$603,$A605,'MS SAP Dump'!$D$2:$D$603)</f>
        <v>26</v>
      </c>
      <c r="G605" s="6">
        <v>6</v>
      </c>
      <c r="H605" s="6">
        <f>SUMIF('HSD SAP Dump'!$F$2:$F$602,$A605,'HSD SAP Dump'!$D$2:$D$602)</f>
        <v>90</v>
      </c>
      <c r="I605" s="6">
        <v>6</v>
      </c>
    </row>
    <row r="606" spans="1:9" x14ac:dyDescent="0.35">
      <c r="A606" s="2">
        <v>372758</v>
      </c>
      <c r="B606" s="3" t="s">
        <v>622</v>
      </c>
      <c r="C606" s="2" t="s">
        <v>6</v>
      </c>
      <c r="D606" s="3" t="s">
        <v>26</v>
      </c>
      <c r="E606" s="5" t="s">
        <v>17</v>
      </c>
      <c r="F606" s="6">
        <f>SUMIF('MS SAP Dump'!$F$2:$F$603,$A606,'MS SAP Dump'!$D$2:$D$603)</f>
        <v>32.5</v>
      </c>
      <c r="G606" s="6">
        <v>60</v>
      </c>
      <c r="H606" s="6">
        <f>SUMIF('HSD SAP Dump'!$F$2:$F$602,$A606,'HSD SAP Dump'!$D$2:$D$602)</f>
        <v>57.5</v>
      </c>
      <c r="I606" s="6">
        <v>60</v>
      </c>
    </row>
    <row r="607" spans="1:9" x14ac:dyDescent="0.35">
      <c r="A607" s="2">
        <v>373799</v>
      </c>
      <c r="B607" s="3" t="s">
        <v>623</v>
      </c>
      <c r="C607" s="2" t="s">
        <v>6</v>
      </c>
      <c r="D607" s="3" t="s">
        <v>26</v>
      </c>
      <c r="E607" s="5" t="s">
        <v>17</v>
      </c>
      <c r="F607" s="6">
        <f>SUMIF('MS SAP Dump'!$F$2:$F$603,$A607,'MS SAP Dump'!$D$2:$D$603)</f>
        <v>31</v>
      </c>
      <c r="G607" s="6">
        <v>24</v>
      </c>
      <c r="H607" s="6">
        <f>SUMIF('HSD SAP Dump'!$F$2:$F$602,$A607,'HSD SAP Dump'!$D$2:$D$602)</f>
        <v>55</v>
      </c>
      <c r="I607" s="6">
        <v>24</v>
      </c>
    </row>
    <row r="608" spans="1:9" x14ac:dyDescent="0.35">
      <c r="A608" s="2">
        <v>373800</v>
      </c>
      <c r="B608" s="3" t="s">
        <v>624</v>
      </c>
      <c r="C608" s="2" t="s">
        <v>6</v>
      </c>
      <c r="D608" s="4" t="s">
        <v>39</v>
      </c>
      <c r="E608" s="5" t="s">
        <v>40</v>
      </c>
      <c r="F608" s="6">
        <f>SUMIF('MS SAP Dump'!$F$2:$F$603,$A608,'MS SAP Dump'!$D$2:$D$603)</f>
        <v>66.5</v>
      </c>
      <c r="G608" s="6">
        <v>63</v>
      </c>
      <c r="H608" s="6">
        <f>SUMIF('HSD SAP Dump'!$F$2:$F$602,$A608,'HSD SAP Dump'!$D$2:$D$602)</f>
        <v>45.5</v>
      </c>
      <c r="I608" s="6">
        <v>63</v>
      </c>
    </row>
    <row r="609" spans="1:9" x14ac:dyDescent="0.35">
      <c r="A609" s="2">
        <v>373914</v>
      </c>
      <c r="B609" s="3" t="s">
        <v>625</v>
      </c>
      <c r="C609" s="2" t="s">
        <v>6</v>
      </c>
      <c r="D609" s="3" t="s">
        <v>10</v>
      </c>
      <c r="E609" s="5" t="s">
        <v>8</v>
      </c>
      <c r="F609" s="6">
        <f>SUMIF('MS SAP Dump'!$F$2:$F$603,$A609,'MS SAP Dump'!$D$2:$D$603)</f>
        <v>15</v>
      </c>
      <c r="G609" s="6">
        <v>81</v>
      </c>
      <c r="H609" s="6">
        <f>SUMIF('HSD SAP Dump'!$F$2:$F$602,$A609,'HSD SAP Dump'!$D$2:$D$602)</f>
        <v>131</v>
      </c>
      <c r="I609" s="6">
        <v>81</v>
      </c>
    </row>
    <row r="610" spans="1:9" x14ac:dyDescent="0.35">
      <c r="A610" s="2">
        <v>374921</v>
      </c>
      <c r="B610" s="3" t="s">
        <v>626</v>
      </c>
      <c r="C610" s="2" t="s">
        <v>6</v>
      </c>
      <c r="D610" s="4" t="s">
        <v>44</v>
      </c>
      <c r="E610" s="5" t="s">
        <v>40</v>
      </c>
      <c r="F610" s="6">
        <f>SUMIF('MS SAP Dump'!$F$2:$F$603,$A610,'MS SAP Dump'!$D$2:$D$603)</f>
        <v>24.5</v>
      </c>
      <c r="G610" s="6">
        <v>60</v>
      </c>
      <c r="H610" s="6">
        <f>SUMIF('HSD SAP Dump'!$F$2:$F$602,$A610,'HSD SAP Dump'!$D$2:$D$602)</f>
        <v>73.5</v>
      </c>
      <c r="I610" s="6">
        <v>60</v>
      </c>
    </row>
    <row r="611" spans="1:9" x14ac:dyDescent="0.35">
      <c r="A611" s="2">
        <v>374922</v>
      </c>
      <c r="B611" s="3" t="s">
        <v>627</v>
      </c>
      <c r="C611" s="2" t="s">
        <v>6</v>
      </c>
      <c r="D611" s="4" t="s">
        <v>44</v>
      </c>
      <c r="E611" s="5" t="s">
        <v>40</v>
      </c>
      <c r="F611" s="6">
        <f>SUMIF('MS SAP Dump'!$F$2:$F$603,$A611,'MS SAP Dump'!$D$2:$D$603)</f>
        <v>40</v>
      </c>
      <c r="G611" s="6">
        <v>0</v>
      </c>
      <c r="H611" s="6">
        <f>SUMIF('HSD SAP Dump'!$F$2:$F$602,$A611,'HSD SAP Dump'!$D$2:$D$602)</f>
        <v>48</v>
      </c>
      <c r="I611" s="6">
        <v>0</v>
      </c>
    </row>
    <row r="612" spans="1:9" x14ac:dyDescent="0.35">
      <c r="A612" s="2">
        <v>375065</v>
      </c>
      <c r="B612" s="3" t="s">
        <v>628</v>
      </c>
      <c r="C612" s="2" t="s">
        <v>6</v>
      </c>
      <c r="D612" s="4" t="s">
        <v>52</v>
      </c>
      <c r="E612" s="5" t="s">
        <v>8</v>
      </c>
      <c r="F612" s="6">
        <f>SUMIF('MS SAP Dump'!$F$2:$F$603,$A612,'MS SAP Dump'!$D$2:$D$603)</f>
        <v>24</v>
      </c>
      <c r="G612" s="6">
        <v>0</v>
      </c>
      <c r="H612" s="6">
        <f>SUMIF('HSD SAP Dump'!$F$2:$F$602,$A612,'HSD SAP Dump'!$D$2:$D$602)</f>
        <v>60</v>
      </c>
      <c r="I612" s="6">
        <v>0</v>
      </c>
    </row>
    <row r="613" spans="1:9" x14ac:dyDescent="0.35">
      <c r="A613" s="2">
        <v>376895</v>
      </c>
      <c r="B613" s="3" t="s">
        <v>629</v>
      </c>
      <c r="C613" s="2" t="s">
        <v>6</v>
      </c>
      <c r="D613" s="4" t="s">
        <v>52</v>
      </c>
      <c r="E613" s="5" t="s">
        <v>8</v>
      </c>
      <c r="F613" s="6">
        <f>SUMIF('MS SAP Dump'!$F$2:$F$603,$A613,'MS SAP Dump'!$D$2:$D$603)</f>
        <v>46</v>
      </c>
      <c r="G613" s="6">
        <v>3</v>
      </c>
      <c r="H613" s="6">
        <f>SUMIF('HSD SAP Dump'!$F$2:$F$602,$A613,'HSD SAP Dump'!$D$2:$D$602)</f>
        <v>100</v>
      </c>
      <c r="I613" s="6">
        <v>3</v>
      </c>
    </row>
    <row r="614" spans="1:9" x14ac:dyDescent="0.35">
      <c r="A614" s="2">
        <v>378372</v>
      </c>
      <c r="B614" s="3" t="s">
        <v>630</v>
      </c>
      <c r="C614" s="2" t="s">
        <v>6</v>
      </c>
      <c r="D614" s="3" t="s">
        <v>26</v>
      </c>
      <c r="E614" s="5" t="s">
        <v>17</v>
      </c>
      <c r="F614" s="6">
        <f>SUMIF('MS SAP Dump'!$F$2:$F$603,$A614,'MS SAP Dump'!$D$2:$D$603)</f>
        <v>21.5</v>
      </c>
      <c r="G614" s="6">
        <v>3</v>
      </c>
      <c r="H614" s="6">
        <f>SUMIF('HSD SAP Dump'!$F$2:$F$602,$A614,'HSD SAP Dump'!$D$2:$D$602)</f>
        <v>64.5</v>
      </c>
      <c r="I614" s="6">
        <v>3</v>
      </c>
    </row>
    <row r="615" spans="1:9" x14ac:dyDescent="0.35">
      <c r="A615" s="2">
        <v>378572</v>
      </c>
      <c r="B615" s="3" t="s">
        <v>631</v>
      </c>
      <c r="C615" s="2" t="s">
        <v>6</v>
      </c>
      <c r="D615" s="3" t="s">
        <v>7</v>
      </c>
      <c r="E615" s="5" t="s">
        <v>8</v>
      </c>
      <c r="F615" s="6">
        <f>SUMIF('MS SAP Dump'!$F$2:$F$603,$A615,'MS SAP Dump'!$D$2:$D$603)</f>
        <v>30</v>
      </c>
      <c r="G615" s="6">
        <v>0</v>
      </c>
      <c r="H615" s="6">
        <f>SUMIF('HSD SAP Dump'!$F$2:$F$602,$A615,'HSD SAP Dump'!$D$2:$D$602)</f>
        <v>70</v>
      </c>
      <c r="I615" s="6">
        <v>0</v>
      </c>
    </row>
    <row r="616" spans="1:9" x14ac:dyDescent="0.35">
      <c r="A616" s="2">
        <v>378599</v>
      </c>
      <c r="B616" s="3" t="s">
        <v>632</v>
      </c>
      <c r="C616" s="2" t="s">
        <v>6</v>
      </c>
      <c r="D616" s="4" t="s">
        <v>39</v>
      </c>
      <c r="E616" s="5" t="s">
        <v>40</v>
      </c>
      <c r="F616" s="6">
        <f>SUMIF('MS SAP Dump'!$F$2:$F$603,$A616,'MS SAP Dump'!$D$2:$D$603)</f>
        <v>9</v>
      </c>
      <c r="G616" s="6">
        <v>0</v>
      </c>
      <c r="H616" s="6">
        <f>SUMIF('HSD SAP Dump'!$F$2:$F$602,$A616,'HSD SAP Dump'!$D$2:$D$602)</f>
        <v>3</v>
      </c>
      <c r="I616" s="6">
        <v>0</v>
      </c>
    </row>
    <row r="617" spans="1:9" x14ac:dyDescent="0.35">
      <c r="A617" s="2">
        <v>378776</v>
      </c>
      <c r="B617" s="3" t="s">
        <v>633</v>
      </c>
      <c r="C617" s="2" t="s">
        <v>6</v>
      </c>
      <c r="D617" s="3" t="s">
        <v>16</v>
      </c>
      <c r="E617" s="5" t="s">
        <v>17</v>
      </c>
      <c r="F617" s="6">
        <f>SUMIF('MS SAP Dump'!$F$2:$F$603,$A617,'MS SAP Dump'!$D$2:$D$603)</f>
        <v>50</v>
      </c>
      <c r="G617" s="6">
        <v>0</v>
      </c>
      <c r="H617" s="6">
        <f>SUMIF('HSD SAP Dump'!$F$2:$F$602,$A617,'HSD SAP Dump'!$D$2:$D$602)</f>
        <v>70</v>
      </c>
      <c r="I617" s="6">
        <v>0</v>
      </c>
    </row>
    <row r="618" spans="1:9" x14ac:dyDescent="0.35">
      <c r="A618" s="2">
        <v>378576</v>
      </c>
      <c r="B618" s="3" t="s">
        <v>634</v>
      </c>
      <c r="C618" s="2" t="s">
        <v>6</v>
      </c>
      <c r="D618" s="3" t="s">
        <v>47</v>
      </c>
      <c r="E618" s="5" t="s">
        <v>8</v>
      </c>
      <c r="F618" s="6">
        <f>SUMIF('MS SAP Dump'!$F$2:$F$603,$A618,'MS SAP Dump'!$D$2:$D$603)</f>
        <v>48</v>
      </c>
      <c r="G618" s="6">
        <v>0</v>
      </c>
      <c r="H618" s="6">
        <f>SUMIF('HSD SAP Dump'!$F$2:$F$602,$A618,'HSD SAP Dump'!$D$2:$D$602)</f>
        <v>144</v>
      </c>
      <c r="I618" s="6">
        <v>0</v>
      </c>
    </row>
    <row r="619" spans="1:9" x14ac:dyDescent="0.35">
      <c r="A619" s="2">
        <v>378597</v>
      </c>
      <c r="B619" s="3" t="s">
        <v>635</v>
      </c>
      <c r="C619" s="2" t="s">
        <v>6</v>
      </c>
      <c r="D619" s="3" t="s">
        <v>7</v>
      </c>
      <c r="E619" s="5" t="s">
        <v>8</v>
      </c>
      <c r="F619" s="6">
        <f>SUMIF('MS SAP Dump'!$F$2:$F$603,$A619,'MS SAP Dump'!$D$2:$D$603)</f>
        <v>21</v>
      </c>
      <c r="G619" s="6">
        <v>0</v>
      </c>
      <c r="H619" s="6">
        <f>SUMIF('HSD SAP Dump'!$F$2:$F$602,$A619,'HSD SAP Dump'!$D$2:$D$602)</f>
        <v>51</v>
      </c>
      <c r="I619" s="6">
        <v>0</v>
      </c>
    </row>
    <row r="620" spans="1:9" x14ac:dyDescent="0.35">
      <c r="A620" s="2">
        <v>378598</v>
      </c>
      <c r="B620" s="3" t="s">
        <v>466</v>
      </c>
      <c r="C620" s="2" t="s">
        <v>6</v>
      </c>
      <c r="D620" s="3" t="s">
        <v>7</v>
      </c>
      <c r="E620" s="5" t="s">
        <v>8</v>
      </c>
      <c r="F620" s="6">
        <f>SUMIF('MS SAP Dump'!$F$2:$F$603,$A620,'MS SAP Dump'!$D$2:$D$603)</f>
        <v>4</v>
      </c>
      <c r="G620" s="6">
        <v>0</v>
      </c>
      <c r="H620" s="6">
        <f>SUMIF('HSD SAP Dump'!$F$2:$F$602,$A620,'HSD SAP Dump'!$D$2:$D$602)</f>
        <v>24</v>
      </c>
      <c r="I620" s="6">
        <v>0</v>
      </c>
    </row>
    <row r="621" spans="1:9" x14ac:dyDescent="0.35">
      <c r="A621" s="2">
        <v>379686</v>
      </c>
      <c r="B621" s="3" t="s">
        <v>636</v>
      </c>
      <c r="C621" s="2" t="s">
        <v>6</v>
      </c>
      <c r="D621" s="4" t="s">
        <v>52</v>
      </c>
      <c r="E621" s="5" t="s">
        <v>8</v>
      </c>
      <c r="F621" s="6">
        <f>SUMIF('MS SAP Dump'!$F$2:$F$603,$A621,'MS SAP Dump'!$D$2:$D$603)</f>
        <v>32</v>
      </c>
      <c r="G621" s="6">
        <v>0</v>
      </c>
      <c r="H621" s="6">
        <f>SUMIF('HSD SAP Dump'!$F$2:$F$602,$A621,'HSD SAP Dump'!$D$2:$D$602)</f>
        <v>72</v>
      </c>
      <c r="I621" s="6">
        <v>0</v>
      </c>
    </row>
    <row r="622" spans="1:9" x14ac:dyDescent="0.35">
      <c r="A622" s="2">
        <v>380365</v>
      </c>
      <c r="B622" s="3" t="s">
        <v>336</v>
      </c>
      <c r="C622" s="2" t="s">
        <v>6</v>
      </c>
      <c r="D622" s="3" t="s">
        <v>7</v>
      </c>
      <c r="E622" s="5" t="s">
        <v>8</v>
      </c>
      <c r="F622" s="6">
        <f>SUMIF('MS SAP Dump'!$F$2:$F$603,$A622,'MS SAP Dump'!$D$2:$D$603)</f>
        <v>0</v>
      </c>
      <c r="G622" s="6">
        <v>0</v>
      </c>
      <c r="H622" s="6">
        <f>SUMIF('HSD SAP Dump'!$F$2:$F$602,$A622,'HSD SAP Dump'!$D$2:$D$602)</f>
        <v>0</v>
      </c>
      <c r="I622" s="6">
        <v>0</v>
      </c>
    </row>
    <row r="623" spans="1:9" x14ac:dyDescent="0.35">
      <c r="A623" s="2">
        <v>380366</v>
      </c>
      <c r="B623" s="3" t="s">
        <v>508</v>
      </c>
      <c r="C623" s="2" t="s">
        <v>6</v>
      </c>
      <c r="D623" s="4" t="s">
        <v>52</v>
      </c>
      <c r="E623" s="5" t="s">
        <v>8</v>
      </c>
      <c r="F623" s="6">
        <f>SUMIF('MS SAP Dump'!$F$2:$F$603,$A623,'MS SAP Dump'!$D$2:$D$603)</f>
        <v>16</v>
      </c>
      <c r="G623" s="6">
        <v>0</v>
      </c>
      <c r="H623" s="6">
        <f>SUMIF('HSD SAP Dump'!$F$2:$F$602,$A623,'HSD SAP Dump'!$D$2:$D$602)</f>
        <v>72</v>
      </c>
      <c r="I623" s="6">
        <v>0</v>
      </c>
    </row>
    <row r="624" spans="1:9" x14ac:dyDescent="0.35">
      <c r="A624" s="2">
        <v>381116</v>
      </c>
      <c r="B624" s="3" t="s">
        <v>637</v>
      </c>
      <c r="C624" s="2" t="s">
        <v>6</v>
      </c>
      <c r="D624" s="3" t="s">
        <v>26</v>
      </c>
      <c r="E624" s="5" t="s">
        <v>17</v>
      </c>
      <c r="F624" s="6">
        <f>SUMIF('MS SAP Dump'!$F$2:$F$603,$A624,'MS SAP Dump'!$D$2:$D$603)</f>
        <v>3.5</v>
      </c>
      <c r="G624" s="6">
        <v>12</v>
      </c>
      <c r="H624" s="6">
        <f>SUMIF('HSD SAP Dump'!$F$2:$F$602,$A624,'HSD SAP Dump'!$D$2:$D$602)</f>
        <v>372.5</v>
      </c>
      <c r="I624" s="6">
        <v>12</v>
      </c>
    </row>
    <row r="625" spans="1:9" x14ac:dyDescent="0.35">
      <c r="A625" s="2">
        <v>379606</v>
      </c>
      <c r="B625" s="3" t="s">
        <v>638</v>
      </c>
      <c r="C625" s="2" t="s">
        <v>6</v>
      </c>
      <c r="D625" s="4" t="s">
        <v>52</v>
      </c>
      <c r="E625" s="5" t="s">
        <v>8</v>
      </c>
      <c r="F625" s="6">
        <f>SUMIF('MS SAP Dump'!$F$2:$F$603,$A625,'MS SAP Dump'!$D$2:$D$603)</f>
        <v>69</v>
      </c>
      <c r="G625" s="6">
        <v>0</v>
      </c>
      <c r="H625" s="6">
        <f>SUMIF('HSD SAP Dump'!$F$2:$F$602,$A625,'HSD SAP Dump'!$D$2:$D$602)</f>
        <v>219</v>
      </c>
      <c r="I625" s="6">
        <v>0</v>
      </c>
    </row>
    <row r="626" spans="1:9" x14ac:dyDescent="0.35">
      <c r="A626" s="2">
        <v>381186</v>
      </c>
      <c r="B626" s="3" t="s">
        <v>639</v>
      </c>
      <c r="C626" s="2" t="s">
        <v>6</v>
      </c>
      <c r="D626" s="4" t="s">
        <v>19</v>
      </c>
      <c r="E626" s="5" t="s">
        <v>17</v>
      </c>
      <c r="F626" s="6">
        <f>SUMIF('MS SAP Dump'!$F$2:$F$603,$A626,'MS SAP Dump'!$D$2:$D$603)</f>
        <v>17</v>
      </c>
      <c r="G626" s="6">
        <v>0</v>
      </c>
      <c r="H626" s="6">
        <f>SUMIF('HSD SAP Dump'!$F$2:$F$602,$A626,'HSD SAP Dump'!$D$2:$D$602)</f>
        <v>51</v>
      </c>
      <c r="I626" s="6">
        <v>0</v>
      </c>
    </row>
    <row r="627" spans="1:9" x14ac:dyDescent="0.35">
      <c r="A627" s="2">
        <v>381798</v>
      </c>
      <c r="B627" s="3" t="s">
        <v>640</v>
      </c>
      <c r="C627" s="2" t="s">
        <v>6</v>
      </c>
      <c r="D627" s="4" t="s">
        <v>19</v>
      </c>
      <c r="E627" s="5" t="s">
        <v>17</v>
      </c>
      <c r="F627" s="6">
        <f>SUMIF('MS SAP Dump'!$F$2:$F$603,$A627,'MS SAP Dump'!$D$2:$D$603)</f>
        <v>39</v>
      </c>
      <c r="G627" s="6">
        <v>0</v>
      </c>
      <c r="H627" s="6">
        <f>SUMIF('HSD SAP Dump'!$F$2:$F$602,$A627,'HSD SAP Dump'!$D$2:$D$602)</f>
        <v>85</v>
      </c>
      <c r="I627" s="6">
        <v>0</v>
      </c>
    </row>
    <row r="628" spans="1:9" x14ac:dyDescent="0.35">
      <c r="A628" s="2">
        <v>381929</v>
      </c>
      <c r="B628" s="3" t="s">
        <v>641</v>
      </c>
      <c r="C628" s="2" t="s">
        <v>6</v>
      </c>
      <c r="D628" s="4" t="s">
        <v>44</v>
      </c>
      <c r="E628" s="5" t="s">
        <v>40</v>
      </c>
      <c r="F628" s="6">
        <f>SUMIF('MS SAP Dump'!$F$2:$F$603,$A628,'MS SAP Dump'!$D$2:$D$603)</f>
        <v>22</v>
      </c>
      <c r="G628" s="6">
        <v>0</v>
      </c>
      <c r="H628" s="6">
        <f>SUMIF('HSD SAP Dump'!$F$2:$F$602,$A628,'HSD SAP Dump'!$D$2:$D$602)</f>
        <v>26</v>
      </c>
      <c r="I628" s="6">
        <v>0</v>
      </c>
    </row>
    <row r="629" spans="1:9" x14ac:dyDescent="0.35">
      <c r="A629" s="2">
        <v>381934</v>
      </c>
      <c r="B629" s="3" t="s">
        <v>642</v>
      </c>
      <c r="C629" s="2" t="s">
        <v>6</v>
      </c>
      <c r="D629" s="4" t="s">
        <v>39</v>
      </c>
      <c r="E629" s="5" t="s">
        <v>40</v>
      </c>
      <c r="F629" s="6">
        <f>SUMIF('MS SAP Dump'!$F$2:$F$603,$A629,'MS SAP Dump'!$D$2:$D$603)</f>
        <v>35</v>
      </c>
      <c r="G629" s="6">
        <v>0</v>
      </c>
      <c r="H629" s="6">
        <f>SUMIF('HSD SAP Dump'!$F$2:$F$602,$A629,'HSD SAP Dump'!$D$2:$D$602)</f>
        <v>35</v>
      </c>
      <c r="I629" s="6">
        <v>0</v>
      </c>
    </row>
    <row r="630" spans="1:9" x14ac:dyDescent="0.35">
      <c r="A630" s="2">
        <v>381984</v>
      </c>
      <c r="B630" s="3" t="s">
        <v>643</v>
      </c>
      <c r="C630" s="2" t="s">
        <v>6</v>
      </c>
      <c r="D630" s="3" t="s">
        <v>47</v>
      </c>
      <c r="E630" s="5" t="s">
        <v>8</v>
      </c>
      <c r="F630" s="6">
        <f>SUMIF('MS SAP Dump'!$F$2:$F$603,$A630,'MS SAP Dump'!$D$2:$D$603)</f>
        <v>5</v>
      </c>
      <c r="G630" s="6">
        <v>0</v>
      </c>
      <c r="H630" s="6">
        <f>SUMIF('HSD SAP Dump'!$F$2:$F$602,$A630,'HSD SAP Dump'!$D$2:$D$602)</f>
        <v>0</v>
      </c>
      <c r="I630" s="6">
        <v>0</v>
      </c>
    </row>
    <row r="631" spans="1:9" x14ac:dyDescent="0.35">
      <c r="A631" s="2">
        <v>382026</v>
      </c>
      <c r="B631" s="3" t="s">
        <v>644</v>
      </c>
      <c r="C631" s="2" t="s">
        <v>6</v>
      </c>
      <c r="D631" s="4" t="s">
        <v>19</v>
      </c>
      <c r="E631" s="5" t="s">
        <v>17</v>
      </c>
      <c r="F631" s="6">
        <f>SUMIF('MS SAP Dump'!$F$2:$F$603,$A631,'MS SAP Dump'!$D$2:$D$603)</f>
        <v>40</v>
      </c>
      <c r="G631" s="6">
        <v>0</v>
      </c>
      <c r="H631" s="6">
        <f>SUMIF('HSD SAP Dump'!$F$2:$F$602,$A631,'HSD SAP Dump'!$D$2:$D$602)</f>
        <v>44</v>
      </c>
      <c r="I631" s="6">
        <v>0</v>
      </c>
    </row>
    <row r="632" spans="1:9" x14ac:dyDescent="0.35">
      <c r="A632" s="2">
        <v>382024</v>
      </c>
      <c r="B632" s="3" t="s">
        <v>645</v>
      </c>
      <c r="C632" s="2" t="s">
        <v>6</v>
      </c>
      <c r="D632" s="4" t="s">
        <v>10</v>
      </c>
      <c r="E632" s="5" t="s">
        <v>8</v>
      </c>
      <c r="F632" s="6">
        <f>SUMIF('MS SAP Dump'!$F$2:$F$603,$A632,'MS SAP Dump'!$D$2:$D$603)</f>
        <v>51</v>
      </c>
      <c r="G632" s="6">
        <v>0</v>
      </c>
      <c r="H632" s="6">
        <f>SUMIF('HSD SAP Dump'!$F$2:$F$602,$A632,'HSD SAP Dump'!$D$2:$D$602)</f>
        <v>179</v>
      </c>
      <c r="I632" s="6">
        <v>0</v>
      </c>
    </row>
    <row r="633" spans="1:9" x14ac:dyDescent="0.35">
      <c r="A633" s="2">
        <v>126375</v>
      </c>
      <c r="B633" s="3" t="s">
        <v>646</v>
      </c>
      <c r="C633" s="2" t="s">
        <v>6</v>
      </c>
      <c r="D633" s="4" t="s">
        <v>12</v>
      </c>
      <c r="E633" s="5" t="s">
        <v>8</v>
      </c>
      <c r="F633" s="6">
        <f>SUMIF('MS SAP Dump'!$F$2:$F$603,$A633,'MS SAP Dump'!$D$2:$D$603)</f>
        <v>58</v>
      </c>
      <c r="G633" s="6">
        <v>0</v>
      </c>
      <c r="H633" s="6">
        <f>SUMIF('HSD SAP Dump'!$F$2:$F$602,$A633,'HSD SAP Dump'!$D$2:$D$602)</f>
        <v>46</v>
      </c>
      <c r="I633" s="6">
        <v>0</v>
      </c>
    </row>
    <row r="634" spans="1:9" x14ac:dyDescent="0.35">
      <c r="A634" s="2">
        <v>382656</v>
      </c>
      <c r="B634" s="3" t="s">
        <v>647</v>
      </c>
      <c r="C634" s="2" t="s">
        <v>6</v>
      </c>
      <c r="D634" s="4" t="s">
        <v>7</v>
      </c>
      <c r="E634" s="5" t="s">
        <v>8</v>
      </c>
      <c r="F634" s="6">
        <f>SUMIF('MS SAP Dump'!$F$2:$F$603,$A634,'MS SAP Dump'!$D$2:$D$603)</f>
        <v>36</v>
      </c>
      <c r="G634" s="6">
        <v>0</v>
      </c>
      <c r="H634" s="6">
        <f>SUMIF('HSD SAP Dump'!$F$2:$F$602,$A634,'HSD SAP Dump'!$D$2:$D$602)</f>
        <v>96</v>
      </c>
      <c r="I634" s="6">
        <v>0</v>
      </c>
    </row>
    <row r="635" spans="1:9" x14ac:dyDescent="0.35">
      <c r="A635" s="2">
        <v>382748</v>
      </c>
      <c r="B635" s="3" t="s">
        <v>648</v>
      </c>
      <c r="C635" s="2" t="s">
        <v>6</v>
      </c>
      <c r="D635" s="4" t="s">
        <v>39</v>
      </c>
      <c r="E635" s="5" t="s">
        <v>40</v>
      </c>
      <c r="F635" s="6">
        <f>SUMIF('MS SAP Dump'!$F$2:$F$603,$A635,'MS SAP Dump'!$D$2:$D$603)</f>
        <v>16.5</v>
      </c>
      <c r="G635" s="6">
        <v>0</v>
      </c>
      <c r="H635" s="6">
        <f>SUMIF('HSD SAP Dump'!$F$2:$F$602,$A635,'HSD SAP Dump'!$D$2:$D$602)</f>
        <v>23.5</v>
      </c>
      <c r="I635" s="6">
        <v>0</v>
      </c>
    </row>
    <row r="636" spans="1:9" x14ac:dyDescent="0.35">
      <c r="A636" s="2">
        <v>382749</v>
      </c>
      <c r="B636" s="3" t="s">
        <v>649</v>
      </c>
      <c r="C636" s="2" t="s">
        <v>6</v>
      </c>
      <c r="D636" s="4" t="s">
        <v>39</v>
      </c>
      <c r="E636" s="5" t="s">
        <v>40</v>
      </c>
      <c r="F636" s="6">
        <f>SUMIF('MS SAP Dump'!$F$2:$F$603,$A636,'MS SAP Dump'!$D$2:$D$603)</f>
        <v>0</v>
      </c>
      <c r="G636" s="6">
        <v>0</v>
      </c>
      <c r="H636" s="6">
        <f>SUMIF('HSD SAP Dump'!$F$2:$F$602,$A636,'HSD SAP Dump'!$D$2:$D$602)</f>
        <v>0</v>
      </c>
      <c r="I636" s="6">
        <v>0</v>
      </c>
    </row>
    <row r="637" spans="1:9" x14ac:dyDescent="0.35">
      <c r="A637" s="2">
        <v>382655</v>
      </c>
      <c r="B637" s="3" t="s">
        <v>650</v>
      </c>
      <c r="C637" s="2" t="s">
        <v>6</v>
      </c>
      <c r="D637" s="4" t="s">
        <v>19</v>
      </c>
      <c r="E637" s="5" t="s">
        <v>17</v>
      </c>
      <c r="F637" s="6">
        <f>SUMIF('MS SAP Dump'!$F$2:$F$603,$A637,'MS SAP Dump'!$D$2:$D$603)</f>
        <v>22.5</v>
      </c>
      <c r="G637" s="6">
        <v>0</v>
      </c>
      <c r="H637" s="6">
        <f>SUMIF('HSD SAP Dump'!$F$2:$F$602,$A637,'HSD SAP Dump'!$D$2:$D$602)</f>
        <v>78.5</v>
      </c>
      <c r="I637" s="6">
        <v>0</v>
      </c>
    </row>
    <row r="638" spans="1:9" x14ac:dyDescent="0.35">
      <c r="A638" s="2">
        <v>383736</v>
      </c>
      <c r="B638" s="3" t="s">
        <v>651</v>
      </c>
      <c r="C638" s="2" t="s">
        <v>6</v>
      </c>
      <c r="D638" s="4" t="s">
        <v>14</v>
      </c>
      <c r="E638" s="5" t="s">
        <v>8</v>
      </c>
      <c r="F638" s="6">
        <f>SUMIF('MS SAP Dump'!$F$2:$F$603,$A638,'MS SAP Dump'!$D$2:$D$603)</f>
        <v>12</v>
      </c>
      <c r="G638" s="6">
        <v>0</v>
      </c>
      <c r="H638" s="6">
        <f>SUMIF('HSD SAP Dump'!$F$2:$F$602,$A638,'HSD SAP Dump'!$D$2:$D$602)</f>
        <v>40</v>
      </c>
      <c r="I638" s="6">
        <v>0</v>
      </c>
    </row>
    <row r="639" spans="1:9" x14ac:dyDescent="0.35">
      <c r="A639" s="2">
        <v>383737</v>
      </c>
      <c r="B639" s="3" t="s">
        <v>652</v>
      </c>
      <c r="C639" s="2" t="s">
        <v>6</v>
      </c>
      <c r="D639" s="4" t="s">
        <v>19</v>
      </c>
      <c r="E639" s="5" t="s">
        <v>17</v>
      </c>
      <c r="F639" s="6">
        <f>SUMIF('MS SAP Dump'!$F$2:$F$603,$A639,'MS SAP Dump'!$D$2:$D$603)</f>
        <v>25</v>
      </c>
      <c r="G639" s="6">
        <v>0</v>
      </c>
      <c r="H639" s="6">
        <f>SUMIF('HSD SAP Dump'!$F$2:$F$602,$A639,'HSD SAP Dump'!$D$2:$D$602)</f>
        <v>57</v>
      </c>
      <c r="I639" s="6">
        <v>0</v>
      </c>
    </row>
    <row r="640" spans="1:9" x14ac:dyDescent="0.35">
      <c r="A640" s="2">
        <v>384663</v>
      </c>
      <c r="B640" s="3" t="s">
        <v>653</v>
      </c>
      <c r="C640" s="2" t="s">
        <v>6</v>
      </c>
      <c r="D640" s="4" t="s">
        <v>26</v>
      </c>
      <c r="E640" s="5" t="s">
        <v>17</v>
      </c>
      <c r="F640" s="6">
        <f>SUMIF('MS SAP Dump'!$F$2:$F$603,$A640,'MS SAP Dump'!$D$2:$D$603)</f>
        <v>7</v>
      </c>
      <c r="G640" s="6">
        <v>0</v>
      </c>
      <c r="H640" s="6">
        <f>SUMIF('HSD SAP Dump'!$F$2:$F$602,$A640,'HSD SAP Dump'!$D$2:$D$602)</f>
        <v>41</v>
      </c>
      <c r="I640" s="6">
        <v>0</v>
      </c>
    </row>
    <row r="641" spans="1:9" x14ac:dyDescent="0.35">
      <c r="A641" s="2">
        <v>383803</v>
      </c>
      <c r="B641" s="3" t="s">
        <v>389</v>
      </c>
      <c r="C641" s="2" t="s">
        <v>6</v>
      </c>
      <c r="D641" s="4" t="s">
        <v>19</v>
      </c>
      <c r="E641" s="5" t="s">
        <v>17</v>
      </c>
      <c r="F641" s="6">
        <f>SUMIF('MS SAP Dump'!$F$2:$F$603,$A641,'MS SAP Dump'!$D$2:$D$603)</f>
        <v>43</v>
      </c>
      <c r="G641" s="6">
        <v>0</v>
      </c>
      <c r="H641" s="6">
        <f>SUMIF('HSD SAP Dump'!$F$2:$F$602,$A641,'HSD SAP Dump'!$D$2:$D$602)</f>
        <v>109</v>
      </c>
      <c r="I641" s="6">
        <v>0</v>
      </c>
    </row>
    <row r="642" spans="1:9" x14ac:dyDescent="0.35">
      <c r="A642" s="2">
        <v>383832</v>
      </c>
      <c r="B642" s="3" t="s">
        <v>654</v>
      </c>
      <c r="C642" s="2" t="s">
        <v>6</v>
      </c>
      <c r="D642" s="4" t="s">
        <v>19</v>
      </c>
      <c r="E642" s="5" t="s">
        <v>17</v>
      </c>
      <c r="F642" s="6">
        <f>SUMIF('MS SAP Dump'!$F$2:$F$603,$A642,'MS SAP Dump'!$D$2:$D$603)</f>
        <v>3</v>
      </c>
      <c r="G642" s="6">
        <v>0</v>
      </c>
      <c r="H642" s="6">
        <f>SUMIF('HSD SAP Dump'!$F$2:$F$602,$A642,'HSD SAP Dump'!$D$2:$D$602)</f>
        <v>23</v>
      </c>
      <c r="I642" s="6">
        <v>0</v>
      </c>
    </row>
    <row r="643" spans="1:9" x14ac:dyDescent="0.35">
      <c r="A643" s="2">
        <v>384143</v>
      </c>
      <c r="B643" s="3" t="s">
        <v>655</v>
      </c>
      <c r="C643" s="2" t="s">
        <v>6</v>
      </c>
      <c r="D643" s="4" t="s">
        <v>26</v>
      </c>
      <c r="E643" s="5" t="s">
        <v>17</v>
      </c>
      <c r="F643" s="6">
        <f>SUMIF('MS SAP Dump'!$F$2:$F$603,$A643,'MS SAP Dump'!$D$2:$D$603)</f>
        <v>29.5</v>
      </c>
      <c r="G643" s="6">
        <v>0</v>
      </c>
      <c r="H643" s="6">
        <f>SUMIF('HSD SAP Dump'!$F$2:$F$602,$A643,'HSD SAP Dump'!$D$2:$D$602)</f>
        <v>108.5</v>
      </c>
      <c r="I643" s="6">
        <v>0</v>
      </c>
    </row>
    <row r="644" spans="1:9" x14ac:dyDescent="0.35">
      <c r="A644" s="2">
        <v>384714</v>
      </c>
      <c r="B644" s="3" t="s">
        <v>656</v>
      </c>
      <c r="C644" s="2" t="s">
        <v>6</v>
      </c>
      <c r="D644" s="4" t="s">
        <v>52</v>
      </c>
      <c r="E644" s="5" t="s">
        <v>8</v>
      </c>
      <c r="F644" s="6">
        <f>SUMIF('MS SAP Dump'!$F$2:$F$603,$A644,'MS SAP Dump'!$D$2:$D$603)</f>
        <v>0</v>
      </c>
      <c r="G644" s="6">
        <v>0</v>
      </c>
      <c r="H644" s="6">
        <f>SUMIF('HSD SAP Dump'!$F$2:$F$602,$A644,'HSD SAP Dump'!$D$2:$D$602)</f>
        <v>0</v>
      </c>
      <c r="I644" s="6">
        <v>0</v>
      </c>
    </row>
    <row r="645" spans="1:9" x14ac:dyDescent="0.35">
      <c r="A645" s="2">
        <v>385541</v>
      </c>
      <c r="B645" s="3" t="s">
        <v>657</v>
      </c>
      <c r="C645" s="2" t="s">
        <v>6</v>
      </c>
      <c r="D645" s="4" t="s">
        <v>44</v>
      </c>
      <c r="E645" s="5" t="s">
        <v>40</v>
      </c>
      <c r="F645" s="6">
        <f>SUMIF('MS SAP Dump'!$F$2:$F$603,$A645,'MS SAP Dump'!$D$2:$D$603)</f>
        <v>0</v>
      </c>
      <c r="G645" s="6">
        <v>0</v>
      </c>
      <c r="H645" s="6">
        <f>SUMIF('HSD SAP Dump'!$F$2:$F$602,$A645,'HSD SAP Dump'!$D$2:$D$602)</f>
        <v>0</v>
      </c>
      <c r="I645" s="6">
        <v>0</v>
      </c>
    </row>
    <row r="646" spans="1:9" x14ac:dyDescent="0.35">
      <c r="A646" s="2">
        <v>385542</v>
      </c>
      <c r="B646" s="3" t="s">
        <v>658</v>
      </c>
      <c r="C646" s="2" t="s">
        <v>6</v>
      </c>
      <c r="D646" s="4" t="s">
        <v>12</v>
      </c>
      <c r="E646" s="5" t="s">
        <v>8</v>
      </c>
      <c r="F646" s="6">
        <f>SUMIF('MS SAP Dump'!$F$2:$F$603,$A646,'MS SAP Dump'!$D$2:$D$603)</f>
        <v>161</v>
      </c>
      <c r="G646" s="6">
        <v>0</v>
      </c>
      <c r="H646" s="6">
        <f>SUMIF('HSD SAP Dump'!$F$2:$F$602,$A646,'HSD SAP Dump'!$D$2:$D$602)</f>
        <v>73</v>
      </c>
      <c r="I646" s="6">
        <v>0</v>
      </c>
    </row>
    <row r="647" spans="1:9" x14ac:dyDescent="0.35">
      <c r="A647" s="2">
        <v>385803</v>
      </c>
      <c r="B647" s="3" t="s">
        <v>659</v>
      </c>
      <c r="C647" s="2" t="s">
        <v>6</v>
      </c>
      <c r="D647" s="4" t="s">
        <v>12</v>
      </c>
      <c r="E647" s="5" t="s">
        <v>8</v>
      </c>
      <c r="F647" s="6">
        <f>SUMIF('MS SAP Dump'!$F$2:$F$603,$A647,'MS SAP Dump'!$D$2:$D$603)</f>
        <v>287</v>
      </c>
      <c r="G647" s="6">
        <v>0</v>
      </c>
      <c r="H647" s="6">
        <f>SUMIF('HSD SAP Dump'!$F$2:$F$602,$A647,'HSD SAP Dump'!$D$2:$D$602)</f>
        <v>117</v>
      </c>
      <c r="I647" s="6">
        <v>0</v>
      </c>
    </row>
    <row r="648" spans="1:9" x14ac:dyDescent="0.35">
      <c r="A648" s="2">
        <v>385864</v>
      </c>
      <c r="B648" s="3" t="s">
        <v>660</v>
      </c>
      <c r="C648" s="2" t="s">
        <v>6</v>
      </c>
      <c r="D648" s="4" t="s">
        <v>19</v>
      </c>
      <c r="E648" s="5" t="s">
        <v>17</v>
      </c>
      <c r="F648" s="6">
        <f>SUMIF('MS SAP Dump'!$F$2:$F$603,$A648,'MS SAP Dump'!$D$2:$D$603)</f>
        <v>19.5</v>
      </c>
      <c r="G648" s="6">
        <v>0</v>
      </c>
      <c r="H648" s="6">
        <f>SUMIF('HSD SAP Dump'!$F$2:$F$602,$A648,'HSD SAP Dump'!$D$2:$D$602)</f>
        <v>50.5</v>
      </c>
      <c r="I648" s="6">
        <v>0</v>
      </c>
    </row>
    <row r="649" spans="1:9" x14ac:dyDescent="0.35">
      <c r="A649" s="2">
        <v>386278</v>
      </c>
      <c r="B649" s="3" t="s">
        <v>661</v>
      </c>
      <c r="C649" s="2" t="s">
        <v>6</v>
      </c>
      <c r="D649" s="4" t="s">
        <v>10</v>
      </c>
      <c r="E649" s="5" t="s">
        <v>8</v>
      </c>
      <c r="F649" s="6">
        <f>SUMIF('MS SAP Dump'!$F$2:$F$603,$A649,'MS SAP Dump'!$D$2:$D$603)</f>
        <v>6</v>
      </c>
      <c r="G649" s="6">
        <v>0</v>
      </c>
      <c r="H649" s="6">
        <f>SUMIF('HSD SAP Dump'!$F$2:$F$602,$A649,'HSD SAP Dump'!$D$2:$D$602)</f>
        <v>78</v>
      </c>
      <c r="I649" s="6">
        <v>0</v>
      </c>
    </row>
    <row r="650" spans="1:9" x14ac:dyDescent="0.35">
      <c r="A650" s="2">
        <v>386380</v>
      </c>
      <c r="B650" s="3" t="s">
        <v>662</v>
      </c>
      <c r="C650" s="2" t="s">
        <v>6</v>
      </c>
      <c r="D650" s="4" t="s">
        <v>52</v>
      </c>
      <c r="E650" s="5" t="s">
        <v>8</v>
      </c>
      <c r="F650" s="6">
        <f>SUMIF('MS SAP Dump'!$F$2:$F$603,$A650,'MS SAP Dump'!$D$2:$D$603)</f>
        <v>6</v>
      </c>
      <c r="G650" s="6">
        <v>0</v>
      </c>
      <c r="H650" s="6">
        <f>SUMIF('HSD SAP Dump'!$F$2:$F$602,$A650,'HSD SAP Dump'!$D$2:$D$602)</f>
        <v>6</v>
      </c>
      <c r="I650" s="6">
        <v>0</v>
      </c>
    </row>
    <row r="651" spans="1:9" x14ac:dyDescent="0.35">
      <c r="A651" s="2">
        <v>386381</v>
      </c>
      <c r="B651" s="3" t="s">
        <v>663</v>
      </c>
      <c r="C651" s="2" t="s">
        <v>6</v>
      </c>
      <c r="D651" s="4" t="s">
        <v>10</v>
      </c>
      <c r="E651" s="5" t="s">
        <v>8</v>
      </c>
      <c r="F651" s="6">
        <f>SUMIF('MS SAP Dump'!$F$2:$F$603,$A651,'MS SAP Dump'!$D$2:$D$603)</f>
        <v>0</v>
      </c>
      <c r="G651" s="6">
        <v>0</v>
      </c>
      <c r="H651" s="6">
        <f>SUMIF('HSD SAP Dump'!$F$2:$F$602,$A651,'HSD SAP Dump'!$D$2:$D$602)</f>
        <v>0</v>
      </c>
      <c r="I651" s="6">
        <v>0</v>
      </c>
    </row>
    <row r="652" spans="1:9" x14ac:dyDescent="0.35">
      <c r="A652" s="2">
        <v>386760</v>
      </c>
      <c r="B652" s="3" t="s">
        <v>664</v>
      </c>
      <c r="C652" s="2" t="s">
        <v>6</v>
      </c>
      <c r="D652" s="4" t="s">
        <v>52</v>
      </c>
      <c r="E652" s="5" t="s">
        <v>8</v>
      </c>
      <c r="F652" s="6">
        <f>SUMIF('MS SAP Dump'!$F$2:$F$603,$A652,'MS SAP Dump'!$D$2:$D$603)</f>
        <v>0</v>
      </c>
      <c r="G652" s="6">
        <v>0</v>
      </c>
      <c r="H652" s="6">
        <f>SUMIF('HSD SAP Dump'!$F$2:$F$602,$A652,'HSD SAP Dump'!$D$2:$D$602)</f>
        <v>0</v>
      </c>
      <c r="I652" s="6">
        <v>0</v>
      </c>
    </row>
    <row r="653" spans="1:9" x14ac:dyDescent="0.35">
      <c r="A653" s="2">
        <v>386853</v>
      </c>
      <c r="B653" s="3" t="s">
        <v>665</v>
      </c>
      <c r="C653" s="2" t="s">
        <v>6</v>
      </c>
      <c r="D653" s="4" t="s">
        <v>52</v>
      </c>
      <c r="E653" s="5" t="s">
        <v>8</v>
      </c>
      <c r="F653" s="6">
        <f>SUMIF('MS SAP Dump'!$F$2:$F$603,$A653,'MS SAP Dump'!$D$2:$D$603)</f>
        <v>0</v>
      </c>
      <c r="G653" s="6">
        <v>0</v>
      </c>
      <c r="H653" s="6">
        <f>SUMIF('HSD SAP Dump'!$F$2:$F$602,$A653,'HSD SAP Dump'!$D$2:$D$602)</f>
        <v>0</v>
      </c>
      <c r="I653" s="6">
        <v>0</v>
      </c>
    </row>
    <row r="654" spans="1:9" x14ac:dyDescent="0.35">
      <c r="A654" s="2">
        <v>387659</v>
      </c>
      <c r="B654" s="3" t="s">
        <v>666</v>
      </c>
      <c r="C654" s="2" t="s">
        <v>6</v>
      </c>
      <c r="D654" s="4" t="s">
        <v>39</v>
      </c>
      <c r="E654" s="5" t="s">
        <v>40</v>
      </c>
      <c r="F654" s="6">
        <f>SUMIF('MS SAP Dump'!$F$2:$F$603,$A654,'MS SAP Dump'!$D$2:$D$603)</f>
        <v>6</v>
      </c>
      <c r="G654" s="6">
        <v>0</v>
      </c>
      <c r="H654" s="6">
        <f>SUMIF('HSD SAP Dump'!$F$2:$F$602,$A654,'HSD SAP Dump'!$D$2:$D$602)</f>
        <v>6</v>
      </c>
      <c r="I654" s="6">
        <v>0</v>
      </c>
    </row>
    <row r="655" spans="1:9" x14ac:dyDescent="0.35">
      <c r="A655" s="2">
        <v>387724</v>
      </c>
      <c r="B655" s="3" t="s">
        <v>667</v>
      </c>
      <c r="C655" s="2" t="s">
        <v>6</v>
      </c>
      <c r="D655" s="4" t="s">
        <v>19</v>
      </c>
      <c r="E655" s="5" t="s">
        <v>17</v>
      </c>
      <c r="F655" s="6">
        <f>SUMIF('MS SAP Dump'!$F$2:$F$603,$A655,'MS SAP Dump'!$D$2:$D$603)</f>
        <v>15</v>
      </c>
      <c r="G655" s="6">
        <v>0</v>
      </c>
      <c r="H655" s="6">
        <f>SUMIF('HSD SAP Dump'!$F$2:$F$602,$A655,'HSD SAP Dump'!$D$2:$D$602)</f>
        <v>45</v>
      </c>
      <c r="I655" s="6">
        <v>0</v>
      </c>
    </row>
    <row r="656" spans="1:9" x14ac:dyDescent="0.35">
      <c r="A656" s="2">
        <v>388055</v>
      </c>
      <c r="B656" s="3" t="s">
        <v>668</v>
      </c>
      <c r="C656" s="2" t="s">
        <v>6</v>
      </c>
      <c r="D656" s="4" t="s">
        <v>16</v>
      </c>
      <c r="E656" s="5" t="s">
        <v>17</v>
      </c>
      <c r="F656" s="6">
        <f>SUMIF('MS SAP Dump'!$F$2:$F$603,$A656,'MS SAP Dump'!$D$2:$D$603)</f>
        <v>0</v>
      </c>
      <c r="G656" s="6">
        <v>0</v>
      </c>
      <c r="H656" s="6">
        <f>SUMIF('HSD SAP Dump'!$F$2:$F$602,$A656,'HSD SAP Dump'!$D$2:$D$602)</f>
        <v>0</v>
      </c>
      <c r="I656" s="6">
        <v>0</v>
      </c>
    </row>
    <row r="657" spans="1:9" x14ac:dyDescent="0.35">
      <c r="A657" s="2">
        <v>388096</v>
      </c>
      <c r="B657" s="3" t="s">
        <v>669</v>
      </c>
      <c r="C657" s="2" t="s">
        <v>6</v>
      </c>
      <c r="D657" s="4" t="s">
        <v>12</v>
      </c>
      <c r="E657" s="5" t="s">
        <v>8</v>
      </c>
      <c r="F657" s="6">
        <f>SUMIF('MS SAP Dump'!$F$2:$F$603,$A657,'MS SAP Dump'!$D$2:$D$603)</f>
        <v>0</v>
      </c>
      <c r="G657" s="6">
        <v>0</v>
      </c>
      <c r="H657" s="6">
        <f>SUMIF('HSD SAP Dump'!$F$2:$F$602,$A657,'HSD SAP Dump'!$D$2:$D$602)</f>
        <v>0</v>
      </c>
      <c r="I657" s="6">
        <v>0</v>
      </c>
    </row>
    <row r="658" spans="1:9" x14ac:dyDescent="0.35">
      <c r="A658" s="2">
        <v>378952</v>
      </c>
      <c r="B658" s="3" t="s">
        <v>670</v>
      </c>
      <c r="C658" s="2" t="s">
        <v>6</v>
      </c>
      <c r="D658" s="4" t="s">
        <v>12</v>
      </c>
      <c r="E658" s="5" t="s">
        <v>8</v>
      </c>
      <c r="F658" s="6">
        <f>SUMIF('MS SAP Dump'!$F$2:$F$603,$A658,'MS SAP Dump'!$D$2:$D$603)</f>
        <v>0</v>
      </c>
      <c r="G658" s="6">
        <v>0</v>
      </c>
      <c r="H658" s="6">
        <f>SUMIF('HSD SAP Dump'!$F$2:$F$602,$A658,'HSD SAP Dump'!$D$2:$D$602)</f>
        <v>0</v>
      </c>
      <c r="I658" s="6">
        <v>0</v>
      </c>
    </row>
    <row r="659" spans="1:9" x14ac:dyDescent="0.35">
      <c r="A659" s="2">
        <v>389349</v>
      </c>
      <c r="B659" s="3" t="s">
        <v>671</v>
      </c>
      <c r="C659" s="2" t="s">
        <v>6</v>
      </c>
      <c r="D659" s="4" t="s">
        <v>44</v>
      </c>
      <c r="E659" s="5" t="s">
        <v>40</v>
      </c>
      <c r="F659" s="6">
        <f>SUMIF('MS SAP Dump'!$F$2:$F$603,$A659,'MS SAP Dump'!$D$2:$D$603)</f>
        <v>0</v>
      </c>
      <c r="G659" s="6">
        <v>0</v>
      </c>
      <c r="H659" s="6">
        <f>SUMIF('HSD SAP Dump'!$F$2:$F$602,$A659,'HSD SAP Dump'!$D$2:$D$602)</f>
        <v>0</v>
      </c>
      <c r="I659" s="6">
        <v>0</v>
      </c>
    </row>
    <row r="660" spans="1:9" x14ac:dyDescent="0.35">
      <c r="A660" s="2">
        <v>391467</v>
      </c>
      <c r="B660" s="3" t="s">
        <v>672</v>
      </c>
      <c r="C660" s="2" t="s">
        <v>6</v>
      </c>
      <c r="D660" s="4" t="s">
        <v>10</v>
      </c>
      <c r="E660" s="5" t="s">
        <v>8</v>
      </c>
      <c r="F660" s="6">
        <f>SUMIF('MS SAP Dump'!$F$2:$F$603,$A660,'MS SAP Dump'!$D$2:$D$603)</f>
        <v>0</v>
      </c>
      <c r="G660" s="6">
        <v>0</v>
      </c>
      <c r="H660" s="6">
        <f>SUMIF('HSD SAP Dump'!$F$2:$F$602,$A660,'HSD SAP Dump'!$D$2:$D$602)</f>
        <v>0</v>
      </c>
      <c r="I660" s="6">
        <v>0</v>
      </c>
    </row>
    <row r="661" spans="1:9" x14ac:dyDescent="0.35">
      <c r="A661" s="2">
        <v>391523</v>
      </c>
      <c r="B661" s="3" t="s">
        <v>673</v>
      </c>
      <c r="C661" s="2" t="s">
        <v>6</v>
      </c>
      <c r="D661" s="4" t="s">
        <v>7</v>
      </c>
      <c r="E661" s="5" t="s">
        <v>8</v>
      </c>
      <c r="F661" s="6">
        <f>SUMIF('MS SAP Dump'!$F$2:$F$603,$A661,'MS SAP Dump'!$D$2:$D$603)</f>
        <v>0</v>
      </c>
      <c r="G661" s="6">
        <v>0</v>
      </c>
      <c r="H661" s="6">
        <f>SUMIF('HSD SAP Dump'!$F$2:$F$602,$A661,'HSD SAP Dump'!$D$2:$D$602)</f>
        <v>0</v>
      </c>
      <c r="I661" s="6">
        <v>0</v>
      </c>
    </row>
    <row r="662" spans="1:9" x14ac:dyDescent="0.35">
      <c r="A662" s="2">
        <v>390976</v>
      </c>
      <c r="B662" s="3" t="s">
        <v>674</v>
      </c>
      <c r="C662" s="2" t="s">
        <v>6</v>
      </c>
      <c r="D662" s="4" t="s">
        <v>19</v>
      </c>
      <c r="E662" s="5" t="s">
        <v>17</v>
      </c>
      <c r="F662" s="6">
        <f>SUMIF('MS SAP Dump'!$F$2:$F$603,$A662,'MS SAP Dump'!$D$2:$D$603)</f>
        <v>4</v>
      </c>
      <c r="G662" s="6">
        <v>0</v>
      </c>
      <c r="H662" s="6">
        <f>SUMIF('HSD SAP Dump'!$F$2:$F$602,$A662,'HSD SAP Dump'!$D$2:$D$602)</f>
        <v>8</v>
      </c>
      <c r="I662" s="6">
        <v>0</v>
      </c>
    </row>
    <row r="663" spans="1:9" x14ac:dyDescent="0.35">
      <c r="A663" s="2">
        <v>391468</v>
      </c>
      <c r="B663" s="3" t="s">
        <v>563</v>
      </c>
      <c r="C663" s="2" t="s">
        <v>6</v>
      </c>
      <c r="D663" s="4" t="s">
        <v>19</v>
      </c>
      <c r="E663" s="5" t="s">
        <v>17</v>
      </c>
      <c r="F663" s="6">
        <f>SUMIF('MS SAP Dump'!$F$2:$F$603,$A663,'MS SAP Dump'!$D$2:$D$603)</f>
        <v>0</v>
      </c>
      <c r="G663" s="6">
        <v>0</v>
      </c>
      <c r="H663" s="6">
        <f>SUMIF('HSD SAP Dump'!$F$2:$F$602,$A663,'HSD SAP Dump'!$D$2:$D$602)</f>
        <v>0</v>
      </c>
      <c r="I663" s="6">
        <v>0</v>
      </c>
    </row>
    <row r="664" spans="1:9" x14ac:dyDescent="0.35">
      <c r="A664" s="2">
        <v>391466</v>
      </c>
      <c r="B664" s="3" t="s">
        <v>675</v>
      </c>
      <c r="C664" s="2" t="s">
        <v>6</v>
      </c>
      <c r="D664" s="4" t="s">
        <v>10</v>
      </c>
      <c r="E664" s="5" t="s">
        <v>8</v>
      </c>
      <c r="F664" s="6">
        <f>SUMIF('MS SAP Dump'!$F$2:$F$603,$A664,'MS SAP Dump'!$D$2:$D$603)</f>
        <v>12</v>
      </c>
      <c r="G664" s="6">
        <v>0</v>
      </c>
      <c r="H664" s="6">
        <f>SUMIF('HSD SAP Dump'!$F$2:$F$602,$A664,'HSD SAP Dump'!$D$2:$D$602)</f>
        <v>96</v>
      </c>
      <c r="I664" s="6">
        <v>0</v>
      </c>
    </row>
    <row r="665" spans="1:9" x14ac:dyDescent="0.35">
      <c r="A665" s="2">
        <v>391546</v>
      </c>
      <c r="B665" s="3" t="s">
        <v>676</v>
      </c>
      <c r="C665" s="2" t="s">
        <v>6</v>
      </c>
      <c r="D665" s="4" t="s">
        <v>14</v>
      </c>
      <c r="E665" s="5" t="s">
        <v>8</v>
      </c>
      <c r="F665" s="6">
        <f>SUMIF('MS SAP Dump'!$F$2:$F$603,$A665,'MS SAP Dump'!$D$2:$D$603)</f>
        <v>0</v>
      </c>
      <c r="G665" s="6">
        <v>0</v>
      </c>
      <c r="H665" s="6">
        <f>SUMIF('HSD SAP Dump'!$F$2:$F$602,$A665,'HSD SAP Dump'!$D$2:$D$602)</f>
        <v>0</v>
      </c>
      <c r="I665" s="6">
        <v>0</v>
      </c>
    </row>
    <row r="666" spans="1:9" x14ac:dyDescent="0.35">
      <c r="A666" s="2">
        <v>392301</v>
      </c>
      <c r="B666" s="3" t="s">
        <v>677</v>
      </c>
      <c r="C666" s="2" t="s">
        <v>6</v>
      </c>
      <c r="D666" s="4" t="s">
        <v>10</v>
      </c>
      <c r="E666" s="5" t="s">
        <v>8</v>
      </c>
      <c r="F666" s="6">
        <f>SUMIF('MS SAP Dump'!$F$2:$F$603,$A666,'MS SAP Dump'!$D$2:$D$603)</f>
        <v>9</v>
      </c>
      <c r="G666" s="6">
        <v>0</v>
      </c>
      <c r="H666" s="6">
        <f>SUMIF('HSD SAP Dump'!$F$2:$F$602,$A666,'HSD SAP Dump'!$D$2:$D$602)</f>
        <v>3</v>
      </c>
      <c r="I666" s="6">
        <v>0</v>
      </c>
    </row>
    <row r="667" spans="1:9" x14ac:dyDescent="0.35">
      <c r="A667" s="2">
        <v>392992</v>
      </c>
      <c r="B667" s="3" t="s">
        <v>678</v>
      </c>
      <c r="C667" s="2" t="s">
        <v>6</v>
      </c>
      <c r="D667" s="4" t="s">
        <v>44</v>
      </c>
      <c r="E667" s="5" t="s">
        <v>40</v>
      </c>
      <c r="F667" s="6">
        <f>SUMIF('MS SAP Dump'!$F$2:$F$603,$A667,'MS SAP Dump'!$D$2:$D$603)</f>
        <v>0</v>
      </c>
      <c r="G667" s="6">
        <v>0</v>
      </c>
      <c r="H667" s="6">
        <f>SUMIF('HSD SAP Dump'!$F$2:$F$602,$A667,'HSD SAP Dump'!$D$2:$D$602)</f>
        <v>0</v>
      </c>
      <c r="I667" s="6">
        <v>0</v>
      </c>
    </row>
    <row r="668" spans="1:9" x14ac:dyDescent="0.35">
      <c r="A668" s="2">
        <v>392938</v>
      </c>
      <c r="B668" s="3" t="s">
        <v>679</v>
      </c>
      <c r="C668" s="2" t="s">
        <v>6</v>
      </c>
      <c r="D668" s="4" t="s">
        <v>19</v>
      </c>
      <c r="E668" s="5" t="s">
        <v>17</v>
      </c>
      <c r="F668" s="6">
        <f>SUMIF('MS SAP Dump'!$F$2:$F$603,$A668,'MS SAP Dump'!$D$2:$D$603)</f>
        <v>0</v>
      </c>
      <c r="G668" s="6">
        <v>0</v>
      </c>
      <c r="H668" s="6">
        <f>SUMIF('HSD SAP Dump'!$F$2:$F$602,$A668,'HSD SAP Dump'!$D$2:$D$602)</f>
        <v>0</v>
      </c>
      <c r="I668" s="6">
        <v>0</v>
      </c>
    </row>
    <row r="669" spans="1:9" x14ac:dyDescent="0.35">
      <c r="A669" s="2">
        <v>392994</v>
      </c>
      <c r="B669" s="3" t="s">
        <v>680</v>
      </c>
      <c r="C669" s="2" t="s">
        <v>6</v>
      </c>
      <c r="D669" s="4" t="s">
        <v>7</v>
      </c>
      <c r="E669" s="5" t="s">
        <v>8</v>
      </c>
      <c r="F669" s="6">
        <f>SUMIF('MS SAP Dump'!$F$2:$F$603,$A669,'MS SAP Dump'!$D$2:$D$603)</f>
        <v>0</v>
      </c>
      <c r="G669" s="6">
        <v>0</v>
      </c>
      <c r="H669" s="6">
        <f>SUMIF('HSD SAP Dump'!$F$2:$F$602,$A669,'HSD SAP Dump'!$D$2:$D$602)</f>
        <v>0</v>
      </c>
      <c r="I669" s="6">
        <v>0</v>
      </c>
    </row>
    <row r="670" spans="1:9" x14ac:dyDescent="0.35">
      <c r="A670" s="2">
        <v>393015</v>
      </c>
      <c r="B670" s="3" t="s">
        <v>681</v>
      </c>
      <c r="C670" s="2" t="s">
        <v>6</v>
      </c>
      <c r="D670" s="4" t="s">
        <v>14</v>
      </c>
      <c r="E670" s="5" t="s">
        <v>8</v>
      </c>
      <c r="F670" s="6">
        <f>SUMIF('MS SAP Dump'!$F$2:$F$603,$A670,'MS SAP Dump'!$D$2:$D$603)</f>
        <v>0</v>
      </c>
      <c r="G670" s="6">
        <v>0</v>
      </c>
      <c r="H670" s="6">
        <f>SUMIF('HSD SAP Dump'!$F$2:$F$602,$A670,'HSD SAP Dump'!$D$2:$D$602)</f>
        <v>0</v>
      </c>
      <c r="I670" s="6">
        <v>0</v>
      </c>
    </row>
    <row r="671" spans="1:9" x14ac:dyDescent="0.35">
      <c r="A671" s="2">
        <v>393129</v>
      </c>
      <c r="B671" s="3" t="s">
        <v>597</v>
      </c>
      <c r="C671" s="2" t="s">
        <v>6</v>
      </c>
      <c r="D671" s="4" t="s">
        <v>7</v>
      </c>
      <c r="E671" s="5" t="s">
        <v>8</v>
      </c>
      <c r="F671" s="6">
        <f>SUMIF('MS SAP Dump'!$F$2:$F$603,$A671,'MS SAP Dump'!$D$2:$D$603)</f>
        <v>0</v>
      </c>
      <c r="G671" s="6">
        <v>0</v>
      </c>
      <c r="H671" s="6">
        <f>SUMIF('HSD SAP Dump'!$F$2:$F$602,$A671,'HSD SAP Dump'!$D$2:$D$602)</f>
        <v>0</v>
      </c>
      <c r="I671" s="6">
        <v>0</v>
      </c>
    </row>
    <row r="672" spans="1:9" x14ac:dyDescent="0.35">
      <c r="A672" s="2">
        <v>393128</v>
      </c>
      <c r="B672" s="3" t="s">
        <v>682</v>
      </c>
      <c r="C672" s="2" t="s">
        <v>6</v>
      </c>
      <c r="D672" s="4" t="s">
        <v>39</v>
      </c>
      <c r="E672" s="5" t="s">
        <v>40</v>
      </c>
      <c r="F672" s="6">
        <f>SUMIF('MS SAP Dump'!$F$2:$F$603,$A672,'MS SAP Dump'!$D$2:$D$603)</f>
        <v>0</v>
      </c>
      <c r="G672" s="6">
        <v>0</v>
      </c>
      <c r="H672" s="6">
        <f>SUMIF('HSD SAP Dump'!$F$2:$F$602,$A672,'HSD SAP Dump'!$D$2:$D$602)</f>
        <v>0</v>
      </c>
      <c r="I672" s="6">
        <v>0</v>
      </c>
    </row>
    <row r="673" spans="1:10" x14ac:dyDescent="0.35">
      <c r="A673" s="2">
        <v>393411</v>
      </c>
      <c r="B673" s="3" t="s">
        <v>1311</v>
      </c>
      <c r="C673" s="2" t="s">
        <v>6</v>
      </c>
      <c r="D673" s="4" t="s">
        <v>16</v>
      </c>
      <c r="E673" s="5" t="s">
        <v>17</v>
      </c>
      <c r="F673" s="6">
        <f>SUMIF('MS SAP Dump'!$F$2:$F$603,$A673,'MS SAP Dump'!$D$2:$D$603)</f>
        <v>11</v>
      </c>
      <c r="G673" s="6"/>
      <c r="H673" s="6">
        <f>SUMIF('HSD SAP Dump'!$F$2:$F$602,$A673,'HSD SAP Dump'!$D$2:$D$602)</f>
        <v>21</v>
      </c>
      <c r="I673" s="6"/>
      <c r="J673" t="s">
        <v>1312</v>
      </c>
    </row>
  </sheetData>
  <conditionalFormatting sqref="A2:A648">
    <cfRule type="duplicateValues" dxfId="14" priority="15"/>
  </conditionalFormatting>
  <conditionalFormatting sqref="A493">
    <cfRule type="expression" dxfId="13" priority="14">
      <formula>AND(COUNTIF($B$1735,A493)+COUNTIF($B$1737:$B$1851,A493)&gt;1,NOT(ISBLANK(A493)))</formula>
    </cfRule>
  </conditionalFormatting>
  <conditionalFormatting sqref="A637:A648">
    <cfRule type="duplicateValues" dxfId="12" priority="13"/>
  </conditionalFormatting>
  <conditionalFormatting sqref="A649:A653">
    <cfRule type="duplicateValues" dxfId="11" priority="11"/>
    <cfRule type="duplicateValues" dxfId="10" priority="12"/>
  </conditionalFormatting>
  <conditionalFormatting sqref="A654">
    <cfRule type="duplicateValues" dxfId="7" priority="8"/>
    <cfRule type="duplicateValues" dxfId="8" priority="9"/>
    <cfRule type="duplicateValues" dxfId="9" priority="10"/>
  </conditionalFormatting>
  <conditionalFormatting sqref="A655:A656">
    <cfRule type="duplicateValues" dxfId="4" priority="5"/>
    <cfRule type="duplicateValues" dxfId="5" priority="6"/>
    <cfRule type="duplicateValues" dxfId="6" priority="7"/>
  </conditionalFormatting>
  <conditionalFormatting sqref="A657:A664">
    <cfRule type="duplicateValues" dxfId="2" priority="3"/>
    <cfRule type="duplicateValues" dxfId="3" priority="4"/>
  </conditionalFormatting>
  <conditionalFormatting sqref="A665:A673">
    <cfRule type="duplicateValues" dxfId="0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2EF1-0404-4765-85C5-4CB02E9232CA}">
  <dimension ref="A1:F603"/>
  <sheetViews>
    <sheetView topLeftCell="A567" workbookViewId="0">
      <selection activeCell="F22" sqref="F22"/>
    </sheetView>
  </sheetViews>
  <sheetFormatPr defaultRowHeight="14.5" x14ac:dyDescent="0.35"/>
  <cols>
    <col min="1" max="1" width="48" bestFit="1" customWidth="1"/>
    <col min="2" max="2" width="19.453125" bestFit="1" customWidth="1"/>
    <col min="3" max="3" width="23.54296875" bestFit="1" customWidth="1"/>
    <col min="4" max="5" width="6.81640625" bestFit="1" customWidth="1"/>
  </cols>
  <sheetData>
    <row r="1" spans="1:6" x14ac:dyDescent="0.35">
      <c r="A1" s="7" t="s">
        <v>686</v>
      </c>
      <c r="B1" s="7" t="s">
        <v>687</v>
      </c>
      <c r="C1" s="7" t="s">
        <v>688</v>
      </c>
      <c r="D1" s="8" t="s">
        <v>689</v>
      </c>
      <c r="E1" s="8" t="s">
        <v>689</v>
      </c>
      <c r="F1" s="12" t="s">
        <v>0</v>
      </c>
    </row>
    <row r="2" spans="1:6" x14ac:dyDescent="0.35">
      <c r="A2" s="9" t="s">
        <v>690</v>
      </c>
      <c r="B2" s="9" t="s">
        <v>691</v>
      </c>
      <c r="C2" s="9" t="s">
        <v>692</v>
      </c>
      <c r="D2" s="10">
        <v>27</v>
      </c>
      <c r="E2" s="11" t="s">
        <v>693</v>
      </c>
      <c r="F2">
        <f>VALUE(LEFT(A2,FIND(" ",A2)-1))</f>
        <v>125725</v>
      </c>
    </row>
    <row r="3" spans="1:6" x14ac:dyDescent="0.35">
      <c r="A3" s="9" t="s">
        <v>694</v>
      </c>
      <c r="B3" s="9" t="s">
        <v>691</v>
      </c>
      <c r="C3" s="9" t="s">
        <v>695</v>
      </c>
      <c r="D3" s="10">
        <v>169</v>
      </c>
      <c r="E3" s="11" t="s">
        <v>693</v>
      </c>
      <c r="F3">
        <f t="shared" ref="F3:F66" si="0">VALUE(LEFT(A3,FIND(" ",A3)-1))</f>
        <v>125834</v>
      </c>
    </row>
    <row r="4" spans="1:6" x14ac:dyDescent="0.35">
      <c r="A4" s="9" t="s">
        <v>696</v>
      </c>
      <c r="B4" s="9" t="s">
        <v>691</v>
      </c>
      <c r="C4" s="9" t="s">
        <v>697</v>
      </c>
      <c r="D4" s="10">
        <v>45.5</v>
      </c>
      <c r="E4" s="11" t="s">
        <v>693</v>
      </c>
      <c r="F4">
        <f t="shared" si="0"/>
        <v>125893</v>
      </c>
    </row>
    <row r="5" spans="1:6" x14ac:dyDescent="0.35">
      <c r="A5" s="9" t="s">
        <v>698</v>
      </c>
      <c r="B5" s="9" t="s">
        <v>699</v>
      </c>
      <c r="C5" s="9" t="s">
        <v>700</v>
      </c>
      <c r="D5" s="10">
        <v>121.5</v>
      </c>
      <c r="E5" s="11" t="s">
        <v>693</v>
      </c>
      <c r="F5">
        <f t="shared" si="0"/>
        <v>126060</v>
      </c>
    </row>
    <row r="6" spans="1:6" x14ac:dyDescent="0.35">
      <c r="A6" s="9" t="s">
        <v>701</v>
      </c>
      <c r="B6" s="9" t="s">
        <v>699</v>
      </c>
      <c r="C6" s="9" t="s">
        <v>702</v>
      </c>
      <c r="D6" s="10">
        <v>60</v>
      </c>
      <c r="E6" s="11" t="s">
        <v>693</v>
      </c>
      <c r="F6">
        <f t="shared" si="0"/>
        <v>126064</v>
      </c>
    </row>
    <row r="7" spans="1:6" x14ac:dyDescent="0.35">
      <c r="A7" s="9" t="s">
        <v>703</v>
      </c>
      <c r="B7" s="9" t="s">
        <v>699</v>
      </c>
      <c r="C7" s="9" t="s">
        <v>700</v>
      </c>
      <c r="D7" s="10">
        <v>63</v>
      </c>
      <c r="E7" s="11" t="s">
        <v>693</v>
      </c>
      <c r="F7">
        <f t="shared" si="0"/>
        <v>126068</v>
      </c>
    </row>
    <row r="8" spans="1:6" x14ac:dyDescent="0.35">
      <c r="A8" s="9" t="s">
        <v>704</v>
      </c>
      <c r="B8" s="9" t="s">
        <v>699</v>
      </c>
      <c r="C8" s="9" t="s">
        <v>700</v>
      </c>
      <c r="D8" s="10">
        <v>45</v>
      </c>
      <c r="E8" s="11" t="s">
        <v>693</v>
      </c>
      <c r="F8">
        <f t="shared" si="0"/>
        <v>126071</v>
      </c>
    </row>
    <row r="9" spans="1:6" x14ac:dyDescent="0.35">
      <c r="A9" s="9" t="s">
        <v>705</v>
      </c>
      <c r="B9" s="9" t="s">
        <v>699</v>
      </c>
      <c r="C9" s="9" t="s">
        <v>700</v>
      </c>
      <c r="D9" s="10">
        <v>120</v>
      </c>
      <c r="E9" s="11" t="s">
        <v>693</v>
      </c>
      <c r="F9">
        <f t="shared" si="0"/>
        <v>126072</v>
      </c>
    </row>
    <row r="10" spans="1:6" x14ac:dyDescent="0.35">
      <c r="A10" s="9" t="s">
        <v>706</v>
      </c>
      <c r="B10" s="9" t="s">
        <v>699</v>
      </c>
      <c r="C10" s="9" t="s">
        <v>700</v>
      </c>
      <c r="D10" s="10">
        <v>95</v>
      </c>
      <c r="E10" s="11" t="s">
        <v>693</v>
      </c>
      <c r="F10">
        <f t="shared" si="0"/>
        <v>126073</v>
      </c>
    </row>
    <row r="11" spans="1:6" x14ac:dyDescent="0.35">
      <c r="A11" s="9" t="s">
        <v>707</v>
      </c>
      <c r="B11" s="9" t="s">
        <v>699</v>
      </c>
      <c r="C11" s="9" t="s">
        <v>700</v>
      </c>
      <c r="D11" s="10">
        <v>90</v>
      </c>
      <c r="E11" s="11" t="s">
        <v>693</v>
      </c>
      <c r="F11">
        <f t="shared" si="0"/>
        <v>126074</v>
      </c>
    </row>
    <row r="12" spans="1:6" x14ac:dyDescent="0.35">
      <c r="A12" s="9" t="s">
        <v>708</v>
      </c>
      <c r="B12" s="9" t="s">
        <v>699</v>
      </c>
      <c r="C12" s="9" t="s">
        <v>709</v>
      </c>
      <c r="D12" s="10">
        <v>30</v>
      </c>
      <c r="E12" s="11" t="s">
        <v>693</v>
      </c>
      <c r="F12">
        <f t="shared" si="0"/>
        <v>126078</v>
      </c>
    </row>
    <row r="13" spans="1:6" x14ac:dyDescent="0.35">
      <c r="A13" s="9" t="s">
        <v>710</v>
      </c>
      <c r="B13" s="9" t="s">
        <v>699</v>
      </c>
      <c r="C13" s="9" t="s">
        <v>700</v>
      </c>
      <c r="D13" s="10">
        <v>101.5</v>
      </c>
      <c r="E13" s="11" t="s">
        <v>693</v>
      </c>
      <c r="F13">
        <f t="shared" si="0"/>
        <v>126081</v>
      </c>
    </row>
    <row r="14" spans="1:6" x14ac:dyDescent="0.35">
      <c r="A14" s="9" t="s">
        <v>711</v>
      </c>
      <c r="B14" s="9" t="s">
        <v>699</v>
      </c>
      <c r="C14" s="9" t="s">
        <v>700</v>
      </c>
      <c r="D14" s="10">
        <v>59.5</v>
      </c>
      <c r="E14" s="11" t="s">
        <v>693</v>
      </c>
      <c r="F14">
        <f t="shared" si="0"/>
        <v>126085</v>
      </c>
    </row>
    <row r="15" spans="1:6" x14ac:dyDescent="0.35">
      <c r="A15" s="9" t="s">
        <v>712</v>
      </c>
      <c r="B15" s="9" t="s">
        <v>699</v>
      </c>
      <c r="C15" s="9" t="s">
        <v>709</v>
      </c>
      <c r="D15" s="10">
        <v>55</v>
      </c>
      <c r="E15" s="11" t="s">
        <v>693</v>
      </c>
      <c r="F15">
        <f t="shared" si="0"/>
        <v>126087</v>
      </c>
    </row>
    <row r="16" spans="1:6" x14ac:dyDescent="0.35">
      <c r="A16" s="9" t="s">
        <v>713</v>
      </c>
      <c r="B16" s="9" t="s">
        <v>699</v>
      </c>
      <c r="C16" s="9" t="s">
        <v>709</v>
      </c>
      <c r="D16" s="10">
        <v>93</v>
      </c>
      <c r="E16" s="11" t="s">
        <v>693</v>
      </c>
      <c r="F16">
        <f t="shared" si="0"/>
        <v>126091</v>
      </c>
    </row>
    <row r="17" spans="1:6" x14ac:dyDescent="0.35">
      <c r="A17" s="9" t="s">
        <v>714</v>
      </c>
      <c r="B17" s="9" t="s">
        <v>699</v>
      </c>
      <c r="C17" s="9" t="s">
        <v>702</v>
      </c>
      <c r="D17" s="10">
        <v>35</v>
      </c>
      <c r="E17" s="11" t="s">
        <v>693</v>
      </c>
      <c r="F17">
        <f t="shared" si="0"/>
        <v>126097</v>
      </c>
    </row>
    <row r="18" spans="1:6" x14ac:dyDescent="0.35">
      <c r="A18" s="9" t="s">
        <v>715</v>
      </c>
      <c r="B18" s="9" t="s">
        <v>699</v>
      </c>
      <c r="C18" s="9" t="s">
        <v>702</v>
      </c>
      <c r="D18" s="10">
        <v>20</v>
      </c>
      <c r="E18" s="11" t="s">
        <v>693</v>
      </c>
      <c r="F18">
        <f t="shared" si="0"/>
        <v>126098</v>
      </c>
    </row>
    <row r="19" spans="1:6" x14ac:dyDescent="0.35">
      <c r="A19" s="9" t="s">
        <v>717</v>
      </c>
      <c r="B19" s="9" t="s">
        <v>699</v>
      </c>
      <c r="C19" s="9" t="s">
        <v>709</v>
      </c>
      <c r="D19" s="10">
        <v>15</v>
      </c>
      <c r="E19" s="11" t="s">
        <v>693</v>
      </c>
      <c r="F19">
        <f t="shared" si="0"/>
        <v>126108</v>
      </c>
    </row>
    <row r="20" spans="1:6" x14ac:dyDescent="0.35">
      <c r="A20" s="9" t="s">
        <v>718</v>
      </c>
      <c r="B20" s="9" t="s">
        <v>699</v>
      </c>
      <c r="C20" s="9" t="s">
        <v>702</v>
      </c>
      <c r="D20" s="10">
        <v>63.5</v>
      </c>
      <c r="E20" s="11" t="s">
        <v>693</v>
      </c>
      <c r="F20">
        <f t="shared" si="0"/>
        <v>126113</v>
      </c>
    </row>
    <row r="21" spans="1:6" x14ac:dyDescent="0.35">
      <c r="A21" s="9" t="s">
        <v>719</v>
      </c>
      <c r="B21" s="9" t="s">
        <v>720</v>
      </c>
      <c r="C21" s="9" t="s">
        <v>721</v>
      </c>
      <c r="D21" s="10">
        <v>38.5</v>
      </c>
      <c r="E21" s="11" t="s">
        <v>693</v>
      </c>
      <c r="F21">
        <f t="shared" si="0"/>
        <v>126133</v>
      </c>
    </row>
    <row r="22" spans="1:6" x14ac:dyDescent="0.35">
      <c r="A22" s="9" t="s">
        <v>722</v>
      </c>
      <c r="B22" s="9" t="s">
        <v>720</v>
      </c>
      <c r="C22" s="9" t="s">
        <v>721</v>
      </c>
      <c r="D22" s="10">
        <v>79.5</v>
      </c>
      <c r="E22" s="11" t="s">
        <v>693</v>
      </c>
      <c r="F22">
        <f t="shared" si="0"/>
        <v>126136</v>
      </c>
    </row>
    <row r="23" spans="1:6" x14ac:dyDescent="0.35">
      <c r="A23" s="9" t="s">
        <v>723</v>
      </c>
      <c r="B23" s="9" t="s">
        <v>720</v>
      </c>
      <c r="C23" s="9" t="s">
        <v>721</v>
      </c>
      <c r="D23" s="10">
        <v>81</v>
      </c>
      <c r="E23" s="11" t="s">
        <v>693</v>
      </c>
      <c r="F23">
        <f t="shared" si="0"/>
        <v>126149</v>
      </c>
    </row>
    <row r="24" spans="1:6" x14ac:dyDescent="0.35">
      <c r="A24" s="9" t="s">
        <v>724</v>
      </c>
      <c r="B24" s="9" t="s">
        <v>720</v>
      </c>
      <c r="C24" s="9" t="s">
        <v>725</v>
      </c>
      <c r="D24" s="10">
        <v>40.5</v>
      </c>
      <c r="E24" s="11" t="s">
        <v>693</v>
      </c>
      <c r="F24">
        <f t="shared" si="0"/>
        <v>126161</v>
      </c>
    </row>
    <row r="25" spans="1:6" x14ac:dyDescent="0.35">
      <c r="A25" s="9" t="s">
        <v>726</v>
      </c>
      <c r="B25" s="9" t="s">
        <v>720</v>
      </c>
      <c r="C25" s="9" t="s">
        <v>721</v>
      </c>
      <c r="D25" s="10">
        <v>55</v>
      </c>
      <c r="E25" s="11" t="s">
        <v>693</v>
      </c>
      <c r="F25">
        <f t="shared" si="0"/>
        <v>126187</v>
      </c>
    </row>
    <row r="26" spans="1:6" x14ac:dyDescent="0.35">
      <c r="A26" s="9" t="s">
        <v>727</v>
      </c>
      <c r="B26" s="9" t="s">
        <v>691</v>
      </c>
      <c r="C26" s="9" t="s">
        <v>728</v>
      </c>
      <c r="D26" s="10">
        <v>91</v>
      </c>
      <c r="E26" s="11" t="s">
        <v>693</v>
      </c>
      <c r="F26">
        <f t="shared" si="0"/>
        <v>126293</v>
      </c>
    </row>
    <row r="27" spans="1:6" x14ac:dyDescent="0.35">
      <c r="A27" s="9" t="s">
        <v>729</v>
      </c>
      <c r="B27" s="9" t="s">
        <v>691</v>
      </c>
      <c r="C27" s="9" t="s">
        <v>695</v>
      </c>
      <c r="D27" s="10">
        <v>123</v>
      </c>
      <c r="E27" s="11" t="s">
        <v>693</v>
      </c>
      <c r="F27">
        <f t="shared" si="0"/>
        <v>126295</v>
      </c>
    </row>
    <row r="28" spans="1:6" x14ac:dyDescent="0.35">
      <c r="A28" s="9" t="s">
        <v>730</v>
      </c>
      <c r="B28" s="9" t="s">
        <v>691</v>
      </c>
      <c r="C28" s="9" t="s">
        <v>695</v>
      </c>
      <c r="D28" s="10">
        <v>227</v>
      </c>
      <c r="E28" s="11" t="s">
        <v>693</v>
      </c>
      <c r="F28">
        <f t="shared" si="0"/>
        <v>126297</v>
      </c>
    </row>
    <row r="29" spans="1:6" x14ac:dyDescent="0.35">
      <c r="A29" s="9" t="s">
        <v>731</v>
      </c>
      <c r="B29" s="9" t="s">
        <v>691</v>
      </c>
      <c r="C29" s="9" t="s">
        <v>692</v>
      </c>
      <c r="D29" s="10">
        <v>185</v>
      </c>
      <c r="E29" s="11" t="s">
        <v>693</v>
      </c>
      <c r="F29">
        <f t="shared" si="0"/>
        <v>126301</v>
      </c>
    </row>
    <row r="30" spans="1:6" x14ac:dyDescent="0.35">
      <c r="A30" s="9" t="s">
        <v>732</v>
      </c>
      <c r="B30" s="9" t="s">
        <v>691</v>
      </c>
      <c r="C30" s="9" t="s">
        <v>733</v>
      </c>
      <c r="D30" s="10">
        <v>30</v>
      </c>
      <c r="E30" s="11" t="s">
        <v>693</v>
      </c>
      <c r="F30">
        <f t="shared" si="0"/>
        <v>126303</v>
      </c>
    </row>
    <row r="31" spans="1:6" x14ac:dyDescent="0.35">
      <c r="A31" s="9" t="s">
        <v>734</v>
      </c>
      <c r="B31" s="9" t="s">
        <v>691</v>
      </c>
      <c r="C31" s="9" t="s">
        <v>695</v>
      </c>
      <c r="D31" s="10">
        <v>227</v>
      </c>
      <c r="E31" s="11" t="s">
        <v>693</v>
      </c>
      <c r="F31">
        <f t="shared" si="0"/>
        <v>126305</v>
      </c>
    </row>
    <row r="32" spans="1:6" x14ac:dyDescent="0.35">
      <c r="A32" s="9" t="s">
        <v>735</v>
      </c>
      <c r="B32" s="9" t="s">
        <v>691</v>
      </c>
      <c r="C32" s="9" t="s">
        <v>728</v>
      </c>
      <c r="D32" s="10">
        <v>12</v>
      </c>
      <c r="E32" s="11" t="s">
        <v>693</v>
      </c>
      <c r="F32">
        <f t="shared" si="0"/>
        <v>126308</v>
      </c>
    </row>
    <row r="33" spans="1:6" x14ac:dyDescent="0.35">
      <c r="A33" s="9" t="s">
        <v>736</v>
      </c>
      <c r="B33" s="9" t="s">
        <v>720</v>
      </c>
      <c r="C33" s="9" t="s">
        <v>721</v>
      </c>
      <c r="D33" s="10">
        <v>165</v>
      </c>
      <c r="E33" s="11" t="s">
        <v>693</v>
      </c>
      <c r="F33">
        <f t="shared" si="0"/>
        <v>126310</v>
      </c>
    </row>
    <row r="34" spans="1:6" x14ac:dyDescent="0.35">
      <c r="A34" s="9" t="s">
        <v>737</v>
      </c>
      <c r="B34" s="9" t="s">
        <v>720</v>
      </c>
      <c r="C34" s="9" t="s">
        <v>725</v>
      </c>
      <c r="D34" s="10">
        <v>191</v>
      </c>
      <c r="E34" s="11" t="s">
        <v>693</v>
      </c>
      <c r="F34">
        <f t="shared" si="0"/>
        <v>126311</v>
      </c>
    </row>
    <row r="35" spans="1:6" x14ac:dyDescent="0.35">
      <c r="A35" s="9" t="s">
        <v>738</v>
      </c>
      <c r="B35" s="9" t="s">
        <v>691</v>
      </c>
      <c r="C35" s="9" t="s">
        <v>728</v>
      </c>
      <c r="D35" s="10">
        <v>9</v>
      </c>
      <c r="E35" s="11" t="s">
        <v>693</v>
      </c>
      <c r="F35">
        <f t="shared" si="0"/>
        <v>126314</v>
      </c>
    </row>
    <row r="36" spans="1:6" x14ac:dyDescent="0.35">
      <c r="A36" s="9" t="s">
        <v>739</v>
      </c>
      <c r="B36" s="9" t="s">
        <v>691</v>
      </c>
      <c r="C36" s="9" t="s">
        <v>740</v>
      </c>
      <c r="D36" s="10">
        <v>129</v>
      </c>
      <c r="E36" s="11" t="s">
        <v>693</v>
      </c>
      <c r="F36">
        <f t="shared" si="0"/>
        <v>126322</v>
      </c>
    </row>
    <row r="37" spans="1:6" x14ac:dyDescent="0.35">
      <c r="A37" s="9" t="s">
        <v>741</v>
      </c>
      <c r="B37" s="9" t="s">
        <v>691</v>
      </c>
      <c r="C37" s="9" t="s">
        <v>733</v>
      </c>
      <c r="D37" s="10">
        <v>85.5</v>
      </c>
      <c r="E37" s="11" t="s">
        <v>693</v>
      </c>
      <c r="F37">
        <f t="shared" si="0"/>
        <v>126325</v>
      </c>
    </row>
    <row r="38" spans="1:6" x14ac:dyDescent="0.35">
      <c r="A38" s="9" t="s">
        <v>742</v>
      </c>
      <c r="B38" s="9" t="s">
        <v>720</v>
      </c>
      <c r="C38" s="9" t="s">
        <v>725</v>
      </c>
      <c r="D38" s="10">
        <v>18</v>
      </c>
      <c r="E38" s="11" t="s">
        <v>693</v>
      </c>
      <c r="F38">
        <f t="shared" si="0"/>
        <v>126326</v>
      </c>
    </row>
    <row r="39" spans="1:6" x14ac:dyDescent="0.35">
      <c r="A39" s="9" t="s">
        <v>743</v>
      </c>
      <c r="B39" s="9" t="s">
        <v>691</v>
      </c>
      <c r="C39" s="9" t="s">
        <v>695</v>
      </c>
      <c r="D39" s="10">
        <v>201</v>
      </c>
      <c r="E39" s="11" t="s">
        <v>693</v>
      </c>
      <c r="F39">
        <f t="shared" si="0"/>
        <v>126328</v>
      </c>
    </row>
    <row r="40" spans="1:6" x14ac:dyDescent="0.35">
      <c r="A40" s="9" t="s">
        <v>744</v>
      </c>
      <c r="B40" s="9" t="s">
        <v>691</v>
      </c>
      <c r="C40" s="9" t="s">
        <v>697</v>
      </c>
      <c r="D40" s="10">
        <v>27</v>
      </c>
      <c r="E40" s="11" t="s">
        <v>693</v>
      </c>
      <c r="F40">
        <f t="shared" si="0"/>
        <v>126329</v>
      </c>
    </row>
    <row r="41" spans="1:6" x14ac:dyDescent="0.35">
      <c r="A41" s="9" t="s">
        <v>745</v>
      </c>
      <c r="B41" s="9" t="s">
        <v>691</v>
      </c>
      <c r="C41" s="9" t="s">
        <v>728</v>
      </c>
      <c r="D41" s="10">
        <v>18</v>
      </c>
      <c r="E41" s="11" t="s">
        <v>693</v>
      </c>
      <c r="F41">
        <f t="shared" si="0"/>
        <v>126332</v>
      </c>
    </row>
    <row r="42" spans="1:6" x14ac:dyDescent="0.35">
      <c r="A42" s="9" t="s">
        <v>746</v>
      </c>
      <c r="B42" s="9" t="s">
        <v>691</v>
      </c>
      <c r="C42" s="9" t="s">
        <v>733</v>
      </c>
      <c r="D42" s="10">
        <v>40</v>
      </c>
      <c r="E42" s="11" t="s">
        <v>693</v>
      </c>
      <c r="F42">
        <f t="shared" si="0"/>
        <v>126335</v>
      </c>
    </row>
    <row r="43" spans="1:6" x14ac:dyDescent="0.35">
      <c r="A43" s="9" t="s">
        <v>747</v>
      </c>
      <c r="B43" s="9" t="s">
        <v>691</v>
      </c>
      <c r="C43" s="9" t="s">
        <v>695</v>
      </c>
      <c r="D43" s="10">
        <v>269</v>
      </c>
      <c r="E43" s="11" t="s">
        <v>693</v>
      </c>
      <c r="F43">
        <f t="shared" si="0"/>
        <v>126336</v>
      </c>
    </row>
    <row r="44" spans="1:6" x14ac:dyDescent="0.35">
      <c r="A44" s="9" t="s">
        <v>748</v>
      </c>
      <c r="B44" s="9" t="s">
        <v>699</v>
      </c>
      <c r="C44" s="9" t="s">
        <v>709</v>
      </c>
      <c r="D44" s="10">
        <v>97</v>
      </c>
      <c r="E44" s="11" t="s">
        <v>693</v>
      </c>
      <c r="F44">
        <f t="shared" si="0"/>
        <v>126337</v>
      </c>
    </row>
    <row r="45" spans="1:6" x14ac:dyDescent="0.35">
      <c r="A45" s="9" t="s">
        <v>749</v>
      </c>
      <c r="B45" s="9" t="s">
        <v>691</v>
      </c>
      <c r="C45" s="9" t="s">
        <v>695</v>
      </c>
      <c r="D45" s="10">
        <v>136</v>
      </c>
      <c r="E45" s="11" t="s">
        <v>693</v>
      </c>
      <c r="F45">
        <f t="shared" si="0"/>
        <v>126338</v>
      </c>
    </row>
    <row r="46" spans="1:6" x14ac:dyDescent="0.35">
      <c r="A46" s="9" t="s">
        <v>750</v>
      </c>
      <c r="B46" s="9" t="s">
        <v>691</v>
      </c>
      <c r="C46" s="9" t="s">
        <v>697</v>
      </c>
      <c r="D46" s="10">
        <v>71</v>
      </c>
      <c r="E46" s="11" t="s">
        <v>693</v>
      </c>
      <c r="F46">
        <f t="shared" si="0"/>
        <v>126339</v>
      </c>
    </row>
    <row r="47" spans="1:6" x14ac:dyDescent="0.35">
      <c r="A47" s="9" t="s">
        <v>751</v>
      </c>
      <c r="B47" s="9" t="s">
        <v>720</v>
      </c>
      <c r="C47" s="9" t="s">
        <v>721</v>
      </c>
      <c r="D47" s="10">
        <v>363.5</v>
      </c>
      <c r="E47" s="11" t="s">
        <v>693</v>
      </c>
      <c r="F47">
        <f t="shared" si="0"/>
        <v>126340</v>
      </c>
    </row>
    <row r="48" spans="1:6" x14ac:dyDescent="0.35">
      <c r="A48" s="9" t="s">
        <v>752</v>
      </c>
      <c r="B48" s="9" t="s">
        <v>720</v>
      </c>
      <c r="C48" s="9" t="s">
        <v>725</v>
      </c>
      <c r="D48" s="10">
        <v>70.5</v>
      </c>
      <c r="E48" s="11" t="s">
        <v>693</v>
      </c>
      <c r="F48">
        <f t="shared" si="0"/>
        <v>126345</v>
      </c>
    </row>
    <row r="49" spans="1:6" x14ac:dyDescent="0.35">
      <c r="A49" s="9" t="s">
        <v>753</v>
      </c>
      <c r="B49" s="9" t="s">
        <v>691</v>
      </c>
      <c r="C49" s="9" t="s">
        <v>695</v>
      </c>
      <c r="D49" s="10">
        <v>340</v>
      </c>
      <c r="E49" s="11" t="s">
        <v>693</v>
      </c>
      <c r="F49">
        <f t="shared" si="0"/>
        <v>126347</v>
      </c>
    </row>
    <row r="50" spans="1:6" x14ac:dyDescent="0.35">
      <c r="A50" s="9" t="s">
        <v>754</v>
      </c>
      <c r="B50" s="9" t="s">
        <v>691</v>
      </c>
      <c r="C50" s="9" t="s">
        <v>733</v>
      </c>
      <c r="D50" s="10">
        <v>50</v>
      </c>
      <c r="E50" s="11" t="s">
        <v>693</v>
      </c>
      <c r="F50">
        <f t="shared" si="0"/>
        <v>126350</v>
      </c>
    </row>
    <row r="51" spans="1:6" x14ac:dyDescent="0.35">
      <c r="A51" s="9" t="s">
        <v>1306</v>
      </c>
      <c r="B51" s="9" t="s">
        <v>691</v>
      </c>
      <c r="C51" s="9" t="s">
        <v>695</v>
      </c>
      <c r="D51" s="10">
        <v>25</v>
      </c>
      <c r="E51" s="11" t="s">
        <v>693</v>
      </c>
      <c r="F51">
        <f t="shared" si="0"/>
        <v>126352</v>
      </c>
    </row>
    <row r="52" spans="1:6" x14ac:dyDescent="0.35">
      <c r="A52" s="9" t="s">
        <v>755</v>
      </c>
      <c r="B52" s="9" t="s">
        <v>691</v>
      </c>
      <c r="C52" s="9" t="s">
        <v>740</v>
      </c>
      <c r="D52" s="10">
        <v>185.5</v>
      </c>
      <c r="E52" s="11" t="s">
        <v>693</v>
      </c>
      <c r="F52">
        <f t="shared" si="0"/>
        <v>126353</v>
      </c>
    </row>
    <row r="53" spans="1:6" x14ac:dyDescent="0.35">
      <c r="A53" s="9" t="s">
        <v>756</v>
      </c>
      <c r="B53" s="9" t="s">
        <v>699</v>
      </c>
      <c r="C53" s="9" t="s">
        <v>702</v>
      </c>
      <c r="D53" s="10">
        <v>54</v>
      </c>
      <c r="E53" s="11" t="s">
        <v>693</v>
      </c>
      <c r="F53">
        <f t="shared" si="0"/>
        <v>126354</v>
      </c>
    </row>
    <row r="54" spans="1:6" x14ac:dyDescent="0.35">
      <c r="A54" s="9" t="s">
        <v>757</v>
      </c>
      <c r="B54" s="9" t="s">
        <v>691</v>
      </c>
      <c r="C54" s="9" t="s">
        <v>695</v>
      </c>
      <c r="D54" s="10">
        <v>237</v>
      </c>
      <c r="E54" s="11" t="s">
        <v>693</v>
      </c>
      <c r="F54">
        <f t="shared" si="0"/>
        <v>126355</v>
      </c>
    </row>
    <row r="55" spans="1:6" x14ac:dyDescent="0.35">
      <c r="A55" s="9" t="s">
        <v>758</v>
      </c>
      <c r="B55" s="9" t="s">
        <v>699</v>
      </c>
      <c r="C55" s="9" t="s">
        <v>702</v>
      </c>
      <c r="D55" s="10">
        <v>79</v>
      </c>
      <c r="E55" s="11" t="s">
        <v>693</v>
      </c>
      <c r="F55">
        <f t="shared" si="0"/>
        <v>126357</v>
      </c>
    </row>
    <row r="56" spans="1:6" x14ac:dyDescent="0.35">
      <c r="A56" s="9" t="s">
        <v>759</v>
      </c>
      <c r="B56" s="9" t="s">
        <v>691</v>
      </c>
      <c r="C56" s="9" t="s">
        <v>697</v>
      </c>
      <c r="D56" s="10">
        <v>59.5</v>
      </c>
      <c r="E56" s="11" t="s">
        <v>693</v>
      </c>
      <c r="F56">
        <f t="shared" si="0"/>
        <v>126358</v>
      </c>
    </row>
    <row r="57" spans="1:6" x14ac:dyDescent="0.35">
      <c r="A57" s="9" t="s">
        <v>760</v>
      </c>
      <c r="B57" s="9" t="s">
        <v>691</v>
      </c>
      <c r="C57" s="9" t="s">
        <v>695</v>
      </c>
      <c r="D57" s="10">
        <v>90</v>
      </c>
      <c r="E57" s="11" t="s">
        <v>693</v>
      </c>
      <c r="F57">
        <f t="shared" si="0"/>
        <v>126359</v>
      </c>
    </row>
    <row r="58" spans="1:6" x14ac:dyDescent="0.35">
      <c r="A58" s="9" t="s">
        <v>761</v>
      </c>
      <c r="B58" s="9" t="s">
        <v>691</v>
      </c>
      <c r="C58" s="9" t="s">
        <v>697</v>
      </c>
      <c r="D58" s="10">
        <v>66</v>
      </c>
      <c r="E58" s="11" t="s">
        <v>693</v>
      </c>
      <c r="F58">
        <f t="shared" si="0"/>
        <v>126361</v>
      </c>
    </row>
    <row r="59" spans="1:6" x14ac:dyDescent="0.35">
      <c r="A59" s="9" t="s">
        <v>762</v>
      </c>
      <c r="B59" s="9" t="s">
        <v>691</v>
      </c>
      <c r="C59" s="9" t="s">
        <v>740</v>
      </c>
      <c r="D59" s="10">
        <v>42</v>
      </c>
      <c r="E59" s="11" t="s">
        <v>693</v>
      </c>
      <c r="F59">
        <f t="shared" si="0"/>
        <v>126362</v>
      </c>
    </row>
    <row r="60" spans="1:6" x14ac:dyDescent="0.35">
      <c r="A60" s="9" t="s">
        <v>763</v>
      </c>
      <c r="B60" s="9" t="s">
        <v>691</v>
      </c>
      <c r="C60" s="9" t="s">
        <v>692</v>
      </c>
      <c r="D60" s="10">
        <v>9</v>
      </c>
      <c r="E60" s="11" t="s">
        <v>693</v>
      </c>
      <c r="F60">
        <f t="shared" si="0"/>
        <v>126365</v>
      </c>
    </row>
    <row r="61" spans="1:6" x14ac:dyDescent="0.35">
      <c r="A61" s="9" t="s">
        <v>764</v>
      </c>
      <c r="B61" s="9" t="s">
        <v>691</v>
      </c>
      <c r="C61" s="9" t="s">
        <v>697</v>
      </c>
      <c r="D61" s="10">
        <v>95</v>
      </c>
      <c r="E61" s="11" t="s">
        <v>693</v>
      </c>
      <c r="F61">
        <f t="shared" si="0"/>
        <v>126366</v>
      </c>
    </row>
    <row r="62" spans="1:6" x14ac:dyDescent="0.35">
      <c r="A62" s="9" t="s">
        <v>765</v>
      </c>
      <c r="B62" s="9" t="s">
        <v>720</v>
      </c>
      <c r="C62" s="9" t="s">
        <v>725</v>
      </c>
      <c r="D62" s="10">
        <v>144</v>
      </c>
      <c r="E62" s="11" t="s">
        <v>693</v>
      </c>
      <c r="F62">
        <f t="shared" si="0"/>
        <v>126368</v>
      </c>
    </row>
    <row r="63" spans="1:6" x14ac:dyDescent="0.35">
      <c r="A63" s="9" t="s">
        <v>766</v>
      </c>
      <c r="B63" s="9" t="s">
        <v>699</v>
      </c>
      <c r="C63" s="9" t="s">
        <v>709</v>
      </c>
      <c r="D63" s="10">
        <v>80</v>
      </c>
      <c r="E63" s="11" t="s">
        <v>693</v>
      </c>
      <c r="F63">
        <f t="shared" si="0"/>
        <v>126369</v>
      </c>
    </row>
    <row r="64" spans="1:6" x14ac:dyDescent="0.35">
      <c r="A64" s="9" t="s">
        <v>767</v>
      </c>
      <c r="B64" s="9" t="s">
        <v>691</v>
      </c>
      <c r="C64" s="9" t="s">
        <v>740</v>
      </c>
      <c r="D64" s="10">
        <v>87</v>
      </c>
      <c r="E64" s="11" t="s">
        <v>693</v>
      </c>
      <c r="F64">
        <f t="shared" si="0"/>
        <v>126370</v>
      </c>
    </row>
    <row r="65" spans="1:6" x14ac:dyDescent="0.35">
      <c r="A65" s="9" t="s">
        <v>768</v>
      </c>
      <c r="B65" s="9" t="s">
        <v>720</v>
      </c>
      <c r="C65" s="9" t="s">
        <v>725</v>
      </c>
      <c r="D65" s="10">
        <v>21</v>
      </c>
      <c r="E65" s="11" t="s">
        <v>693</v>
      </c>
      <c r="F65">
        <f t="shared" si="0"/>
        <v>126372</v>
      </c>
    </row>
    <row r="66" spans="1:6" x14ac:dyDescent="0.35">
      <c r="A66" s="9" t="s">
        <v>769</v>
      </c>
      <c r="B66" s="9" t="s">
        <v>691</v>
      </c>
      <c r="C66" s="9" t="s">
        <v>695</v>
      </c>
      <c r="D66" s="10">
        <v>418</v>
      </c>
      <c r="E66" s="11" t="s">
        <v>693</v>
      </c>
      <c r="F66">
        <f t="shared" si="0"/>
        <v>126373</v>
      </c>
    </row>
    <row r="67" spans="1:6" x14ac:dyDescent="0.35">
      <c r="A67" s="9" t="s">
        <v>770</v>
      </c>
      <c r="B67" s="9" t="s">
        <v>691</v>
      </c>
      <c r="C67" s="9" t="s">
        <v>695</v>
      </c>
      <c r="D67" s="10">
        <v>58</v>
      </c>
      <c r="E67" s="11" t="s">
        <v>693</v>
      </c>
      <c r="F67">
        <f t="shared" ref="F67:F130" si="1">VALUE(LEFT(A67,FIND(" ",A67)-1))</f>
        <v>126375</v>
      </c>
    </row>
    <row r="68" spans="1:6" x14ac:dyDescent="0.35">
      <c r="A68" s="9" t="s">
        <v>771</v>
      </c>
      <c r="B68" s="9" t="s">
        <v>691</v>
      </c>
      <c r="C68" s="9" t="s">
        <v>697</v>
      </c>
      <c r="D68" s="10">
        <v>90</v>
      </c>
      <c r="E68" s="11" t="s">
        <v>693</v>
      </c>
      <c r="F68">
        <f t="shared" si="1"/>
        <v>126379</v>
      </c>
    </row>
    <row r="69" spans="1:6" x14ac:dyDescent="0.35">
      <c r="A69" s="9" t="s">
        <v>772</v>
      </c>
      <c r="B69" s="9" t="s">
        <v>691</v>
      </c>
      <c r="C69" s="9" t="s">
        <v>697</v>
      </c>
      <c r="D69" s="10">
        <v>85</v>
      </c>
      <c r="E69" s="11" t="s">
        <v>693</v>
      </c>
      <c r="F69">
        <f t="shared" si="1"/>
        <v>126402</v>
      </c>
    </row>
    <row r="70" spans="1:6" x14ac:dyDescent="0.35">
      <c r="A70" s="9" t="s">
        <v>773</v>
      </c>
      <c r="B70" s="9" t="s">
        <v>691</v>
      </c>
      <c r="C70" s="9" t="s">
        <v>697</v>
      </c>
      <c r="D70" s="10">
        <v>167</v>
      </c>
      <c r="E70" s="11" t="s">
        <v>693</v>
      </c>
      <c r="F70">
        <f t="shared" si="1"/>
        <v>132007</v>
      </c>
    </row>
    <row r="71" spans="1:6" x14ac:dyDescent="0.35">
      <c r="A71" s="9" t="s">
        <v>774</v>
      </c>
      <c r="B71" s="9" t="s">
        <v>720</v>
      </c>
      <c r="C71" s="9" t="s">
        <v>721</v>
      </c>
      <c r="D71" s="10">
        <v>56</v>
      </c>
      <c r="E71" s="11" t="s">
        <v>693</v>
      </c>
      <c r="F71">
        <f t="shared" si="1"/>
        <v>133329</v>
      </c>
    </row>
    <row r="72" spans="1:6" x14ac:dyDescent="0.35">
      <c r="A72" s="9" t="s">
        <v>775</v>
      </c>
      <c r="B72" s="9" t="s">
        <v>691</v>
      </c>
      <c r="C72" s="9" t="s">
        <v>692</v>
      </c>
      <c r="D72" s="10">
        <v>9</v>
      </c>
      <c r="E72" s="11" t="s">
        <v>693</v>
      </c>
      <c r="F72">
        <f t="shared" si="1"/>
        <v>133393</v>
      </c>
    </row>
    <row r="73" spans="1:6" x14ac:dyDescent="0.35">
      <c r="A73" s="9" t="s">
        <v>776</v>
      </c>
      <c r="B73" s="9" t="s">
        <v>691</v>
      </c>
      <c r="C73" s="9" t="s">
        <v>692</v>
      </c>
      <c r="D73" s="10">
        <v>42</v>
      </c>
      <c r="E73" s="11" t="s">
        <v>693</v>
      </c>
      <c r="F73">
        <f t="shared" si="1"/>
        <v>133421</v>
      </c>
    </row>
    <row r="74" spans="1:6" x14ac:dyDescent="0.35">
      <c r="A74" s="9" t="s">
        <v>777</v>
      </c>
      <c r="B74" s="9" t="s">
        <v>691</v>
      </c>
      <c r="C74" s="9" t="s">
        <v>728</v>
      </c>
      <c r="D74" s="10">
        <v>138</v>
      </c>
      <c r="E74" s="11" t="s">
        <v>693</v>
      </c>
      <c r="F74">
        <f t="shared" si="1"/>
        <v>135442</v>
      </c>
    </row>
    <row r="75" spans="1:6" x14ac:dyDescent="0.35">
      <c r="A75" s="9" t="s">
        <v>778</v>
      </c>
      <c r="B75" s="9" t="s">
        <v>691</v>
      </c>
      <c r="C75" s="9" t="s">
        <v>740</v>
      </c>
      <c r="D75" s="10">
        <v>229.5</v>
      </c>
      <c r="E75" s="11" t="s">
        <v>693</v>
      </c>
      <c r="F75">
        <f t="shared" si="1"/>
        <v>135609</v>
      </c>
    </row>
    <row r="76" spans="1:6" x14ac:dyDescent="0.35">
      <c r="A76" s="9" t="s">
        <v>779</v>
      </c>
      <c r="B76" s="9" t="s">
        <v>691</v>
      </c>
      <c r="C76" s="9" t="s">
        <v>740</v>
      </c>
      <c r="D76" s="10">
        <v>115</v>
      </c>
      <c r="E76" s="11" t="s">
        <v>693</v>
      </c>
      <c r="F76">
        <f t="shared" si="1"/>
        <v>135645</v>
      </c>
    </row>
    <row r="77" spans="1:6" x14ac:dyDescent="0.35">
      <c r="A77" s="9" t="s">
        <v>780</v>
      </c>
      <c r="B77" s="9" t="s">
        <v>691</v>
      </c>
      <c r="C77" s="9" t="s">
        <v>728</v>
      </c>
      <c r="D77" s="10">
        <v>3.5</v>
      </c>
      <c r="E77" s="11" t="s">
        <v>693</v>
      </c>
      <c r="F77">
        <f t="shared" si="1"/>
        <v>135649</v>
      </c>
    </row>
    <row r="78" spans="1:6" x14ac:dyDescent="0.35">
      <c r="A78" s="9" t="s">
        <v>781</v>
      </c>
      <c r="B78" s="9" t="s">
        <v>691</v>
      </c>
      <c r="C78" s="9" t="s">
        <v>695</v>
      </c>
      <c r="D78" s="10">
        <v>73</v>
      </c>
      <c r="E78" s="11" t="s">
        <v>693</v>
      </c>
      <c r="F78">
        <f t="shared" si="1"/>
        <v>135698</v>
      </c>
    </row>
    <row r="79" spans="1:6" x14ac:dyDescent="0.35">
      <c r="A79" s="9" t="s">
        <v>782</v>
      </c>
      <c r="B79" s="9" t="s">
        <v>699</v>
      </c>
      <c r="C79" s="9" t="s">
        <v>700</v>
      </c>
      <c r="D79" s="10">
        <v>58</v>
      </c>
      <c r="E79" s="11" t="s">
        <v>693</v>
      </c>
      <c r="F79">
        <f t="shared" si="1"/>
        <v>141722</v>
      </c>
    </row>
    <row r="80" spans="1:6" x14ac:dyDescent="0.35">
      <c r="A80" s="9" t="s">
        <v>783</v>
      </c>
      <c r="B80" s="9" t="s">
        <v>699</v>
      </c>
      <c r="C80" s="9" t="s">
        <v>700</v>
      </c>
      <c r="D80" s="10">
        <v>24</v>
      </c>
      <c r="E80" s="11" t="s">
        <v>693</v>
      </c>
      <c r="F80">
        <f t="shared" si="1"/>
        <v>141790</v>
      </c>
    </row>
    <row r="81" spans="1:6" x14ac:dyDescent="0.35">
      <c r="A81" s="9" t="s">
        <v>784</v>
      </c>
      <c r="B81" s="9" t="s">
        <v>699</v>
      </c>
      <c r="C81" s="9" t="s">
        <v>709</v>
      </c>
      <c r="D81" s="10">
        <v>68</v>
      </c>
      <c r="E81" s="11" t="s">
        <v>693</v>
      </c>
      <c r="F81">
        <f t="shared" si="1"/>
        <v>153499</v>
      </c>
    </row>
    <row r="82" spans="1:6" x14ac:dyDescent="0.35">
      <c r="A82" s="9" t="s">
        <v>785</v>
      </c>
      <c r="B82" s="9" t="s">
        <v>691</v>
      </c>
      <c r="C82" s="9" t="s">
        <v>733</v>
      </c>
      <c r="D82" s="10">
        <v>66.5</v>
      </c>
      <c r="E82" s="11" t="s">
        <v>693</v>
      </c>
      <c r="F82">
        <f t="shared" si="1"/>
        <v>162500</v>
      </c>
    </row>
    <row r="83" spans="1:6" x14ac:dyDescent="0.35">
      <c r="A83" s="9" t="s">
        <v>786</v>
      </c>
      <c r="B83" s="9" t="s">
        <v>699</v>
      </c>
      <c r="C83" s="9" t="s">
        <v>700</v>
      </c>
      <c r="D83" s="10">
        <v>112</v>
      </c>
      <c r="E83" s="11" t="s">
        <v>693</v>
      </c>
      <c r="F83">
        <f t="shared" si="1"/>
        <v>162505</v>
      </c>
    </row>
    <row r="84" spans="1:6" x14ac:dyDescent="0.35">
      <c r="A84" s="9" t="s">
        <v>787</v>
      </c>
      <c r="B84" s="9" t="s">
        <v>691</v>
      </c>
      <c r="C84" s="9" t="s">
        <v>740</v>
      </c>
      <c r="D84" s="10">
        <v>201</v>
      </c>
      <c r="E84" s="11" t="s">
        <v>693</v>
      </c>
      <c r="F84">
        <f t="shared" si="1"/>
        <v>162507</v>
      </c>
    </row>
    <row r="85" spans="1:6" x14ac:dyDescent="0.35">
      <c r="A85" s="9" t="s">
        <v>788</v>
      </c>
      <c r="B85" s="9" t="s">
        <v>720</v>
      </c>
      <c r="C85" s="9" t="s">
        <v>721</v>
      </c>
      <c r="D85" s="10">
        <v>57.5</v>
      </c>
      <c r="E85" s="11" t="s">
        <v>693</v>
      </c>
      <c r="F85">
        <f t="shared" si="1"/>
        <v>162508</v>
      </c>
    </row>
    <row r="86" spans="1:6" x14ac:dyDescent="0.35">
      <c r="A86" s="9" t="s">
        <v>789</v>
      </c>
      <c r="B86" s="9" t="s">
        <v>699</v>
      </c>
      <c r="C86" s="9" t="s">
        <v>709</v>
      </c>
      <c r="D86" s="10">
        <v>45</v>
      </c>
      <c r="E86" s="11" t="s">
        <v>693</v>
      </c>
      <c r="F86">
        <f t="shared" si="1"/>
        <v>162509</v>
      </c>
    </row>
    <row r="87" spans="1:6" x14ac:dyDescent="0.35">
      <c r="A87" s="9" t="s">
        <v>790</v>
      </c>
      <c r="B87" s="9" t="s">
        <v>691</v>
      </c>
      <c r="C87" s="9" t="s">
        <v>695</v>
      </c>
      <c r="D87" s="10">
        <v>421</v>
      </c>
      <c r="E87" s="11" t="s">
        <v>693</v>
      </c>
      <c r="F87">
        <f t="shared" si="1"/>
        <v>162510</v>
      </c>
    </row>
    <row r="88" spans="1:6" x14ac:dyDescent="0.35">
      <c r="A88" s="9" t="s">
        <v>791</v>
      </c>
      <c r="B88" s="9" t="s">
        <v>699</v>
      </c>
      <c r="C88" s="9" t="s">
        <v>700</v>
      </c>
      <c r="D88" s="10">
        <v>58</v>
      </c>
      <c r="E88" s="11" t="s">
        <v>693</v>
      </c>
      <c r="F88">
        <f t="shared" si="1"/>
        <v>162511</v>
      </c>
    </row>
    <row r="89" spans="1:6" x14ac:dyDescent="0.35">
      <c r="A89" s="9" t="s">
        <v>792</v>
      </c>
      <c r="B89" s="9" t="s">
        <v>691</v>
      </c>
      <c r="C89" s="9" t="s">
        <v>692</v>
      </c>
      <c r="D89" s="10">
        <v>10</v>
      </c>
      <c r="E89" s="11" t="s">
        <v>693</v>
      </c>
      <c r="F89">
        <f t="shared" si="1"/>
        <v>162513</v>
      </c>
    </row>
    <row r="90" spans="1:6" x14ac:dyDescent="0.35">
      <c r="A90" s="9" t="s">
        <v>793</v>
      </c>
      <c r="B90" s="9" t="s">
        <v>699</v>
      </c>
      <c r="C90" s="9" t="s">
        <v>709</v>
      </c>
      <c r="D90" s="10">
        <v>20</v>
      </c>
      <c r="E90" s="11" t="s">
        <v>693</v>
      </c>
      <c r="F90">
        <f t="shared" si="1"/>
        <v>162515</v>
      </c>
    </row>
    <row r="91" spans="1:6" x14ac:dyDescent="0.35">
      <c r="A91" s="9" t="s">
        <v>794</v>
      </c>
      <c r="B91" s="9" t="s">
        <v>720</v>
      </c>
      <c r="C91" s="9" t="s">
        <v>721</v>
      </c>
      <c r="D91" s="10">
        <v>48</v>
      </c>
      <c r="E91" s="11" t="s">
        <v>693</v>
      </c>
      <c r="F91">
        <f t="shared" si="1"/>
        <v>164764</v>
      </c>
    </row>
    <row r="92" spans="1:6" x14ac:dyDescent="0.35">
      <c r="A92" s="9" t="s">
        <v>795</v>
      </c>
      <c r="B92" s="9" t="s">
        <v>699</v>
      </c>
      <c r="C92" s="9" t="s">
        <v>700</v>
      </c>
      <c r="D92" s="10">
        <v>31.5</v>
      </c>
      <c r="E92" s="11" t="s">
        <v>693</v>
      </c>
      <c r="F92">
        <f t="shared" si="1"/>
        <v>164767</v>
      </c>
    </row>
    <row r="93" spans="1:6" x14ac:dyDescent="0.35">
      <c r="A93" s="9" t="s">
        <v>796</v>
      </c>
      <c r="B93" s="9" t="s">
        <v>691</v>
      </c>
      <c r="C93" s="9" t="s">
        <v>695</v>
      </c>
      <c r="D93" s="10">
        <v>280</v>
      </c>
      <c r="E93" s="11" t="s">
        <v>693</v>
      </c>
      <c r="F93">
        <f t="shared" si="1"/>
        <v>164772</v>
      </c>
    </row>
    <row r="94" spans="1:6" x14ac:dyDescent="0.35">
      <c r="A94" s="9" t="s">
        <v>797</v>
      </c>
      <c r="B94" s="9" t="s">
        <v>699</v>
      </c>
      <c r="C94" s="9" t="s">
        <v>709</v>
      </c>
      <c r="D94" s="10">
        <v>34</v>
      </c>
      <c r="E94" s="11" t="s">
        <v>693</v>
      </c>
      <c r="F94">
        <f t="shared" si="1"/>
        <v>174541</v>
      </c>
    </row>
    <row r="95" spans="1:6" x14ac:dyDescent="0.35">
      <c r="A95" s="9" t="s">
        <v>798</v>
      </c>
      <c r="B95" s="9" t="s">
        <v>720</v>
      </c>
      <c r="C95" s="9" t="s">
        <v>725</v>
      </c>
      <c r="D95" s="10">
        <v>103.5</v>
      </c>
      <c r="E95" s="11" t="s">
        <v>693</v>
      </c>
      <c r="F95">
        <f t="shared" si="1"/>
        <v>174542</v>
      </c>
    </row>
    <row r="96" spans="1:6" x14ac:dyDescent="0.35">
      <c r="A96" s="9" t="s">
        <v>799</v>
      </c>
      <c r="B96" s="9" t="s">
        <v>720</v>
      </c>
      <c r="C96" s="9" t="s">
        <v>721</v>
      </c>
      <c r="D96" s="10">
        <v>28</v>
      </c>
      <c r="E96" s="11" t="s">
        <v>693</v>
      </c>
      <c r="F96">
        <f t="shared" si="1"/>
        <v>174550</v>
      </c>
    </row>
    <row r="97" spans="1:6" x14ac:dyDescent="0.35">
      <c r="A97" s="9" t="s">
        <v>800</v>
      </c>
      <c r="B97" s="9" t="s">
        <v>691</v>
      </c>
      <c r="C97" s="9" t="s">
        <v>740</v>
      </c>
      <c r="D97" s="10">
        <v>170</v>
      </c>
      <c r="E97" s="11" t="s">
        <v>693</v>
      </c>
      <c r="F97">
        <f t="shared" si="1"/>
        <v>176113</v>
      </c>
    </row>
    <row r="98" spans="1:6" x14ac:dyDescent="0.35">
      <c r="A98" s="9" t="s">
        <v>801</v>
      </c>
      <c r="B98" s="9" t="s">
        <v>691</v>
      </c>
      <c r="C98" s="9" t="s">
        <v>728</v>
      </c>
      <c r="D98" s="10">
        <v>37</v>
      </c>
      <c r="E98" s="11" t="s">
        <v>693</v>
      </c>
      <c r="F98">
        <f t="shared" si="1"/>
        <v>176189</v>
      </c>
    </row>
    <row r="99" spans="1:6" x14ac:dyDescent="0.35">
      <c r="A99" s="9" t="s">
        <v>802</v>
      </c>
      <c r="B99" s="9" t="s">
        <v>720</v>
      </c>
      <c r="C99" s="9" t="s">
        <v>721</v>
      </c>
      <c r="D99" s="10">
        <v>35</v>
      </c>
      <c r="E99" s="11" t="s">
        <v>693</v>
      </c>
      <c r="F99">
        <f t="shared" si="1"/>
        <v>176684</v>
      </c>
    </row>
    <row r="100" spans="1:6" x14ac:dyDescent="0.35">
      <c r="A100" s="9" t="s">
        <v>803</v>
      </c>
      <c r="B100" s="9" t="s">
        <v>691</v>
      </c>
      <c r="C100" s="9" t="s">
        <v>733</v>
      </c>
      <c r="D100" s="10">
        <v>15</v>
      </c>
      <c r="E100" s="11" t="s">
        <v>693</v>
      </c>
      <c r="F100">
        <f t="shared" si="1"/>
        <v>180555</v>
      </c>
    </row>
    <row r="101" spans="1:6" x14ac:dyDescent="0.35">
      <c r="A101" s="9" t="s">
        <v>804</v>
      </c>
      <c r="B101" s="9" t="s">
        <v>691</v>
      </c>
      <c r="C101" s="9" t="s">
        <v>695</v>
      </c>
      <c r="D101" s="10">
        <v>165</v>
      </c>
      <c r="E101" s="11" t="s">
        <v>693</v>
      </c>
      <c r="F101">
        <f t="shared" si="1"/>
        <v>180566</v>
      </c>
    </row>
    <row r="102" spans="1:6" x14ac:dyDescent="0.35">
      <c r="A102" s="9" t="s">
        <v>805</v>
      </c>
      <c r="B102" s="9" t="s">
        <v>691</v>
      </c>
      <c r="C102" s="9" t="s">
        <v>695</v>
      </c>
      <c r="D102" s="10">
        <v>646</v>
      </c>
      <c r="E102" s="11" t="s">
        <v>693</v>
      </c>
      <c r="F102">
        <f t="shared" si="1"/>
        <v>181638</v>
      </c>
    </row>
    <row r="103" spans="1:6" x14ac:dyDescent="0.35">
      <c r="A103" s="9" t="s">
        <v>806</v>
      </c>
      <c r="B103" s="9" t="s">
        <v>691</v>
      </c>
      <c r="C103" s="9" t="s">
        <v>697</v>
      </c>
      <c r="D103" s="10">
        <v>15</v>
      </c>
      <c r="E103" s="11" t="s">
        <v>693</v>
      </c>
      <c r="F103">
        <f t="shared" si="1"/>
        <v>184284</v>
      </c>
    </row>
    <row r="104" spans="1:6" x14ac:dyDescent="0.35">
      <c r="A104" s="9" t="s">
        <v>807</v>
      </c>
      <c r="B104" s="9" t="s">
        <v>720</v>
      </c>
      <c r="C104" s="9" t="s">
        <v>725</v>
      </c>
      <c r="D104" s="10">
        <v>66.5</v>
      </c>
      <c r="E104" s="11" t="s">
        <v>693</v>
      </c>
      <c r="F104">
        <f t="shared" si="1"/>
        <v>185653</v>
      </c>
    </row>
    <row r="105" spans="1:6" x14ac:dyDescent="0.35">
      <c r="A105" s="9" t="s">
        <v>808</v>
      </c>
      <c r="B105" s="9" t="s">
        <v>699</v>
      </c>
      <c r="C105" s="9" t="s">
        <v>709</v>
      </c>
      <c r="D105" s="10">
        <v>87</v>
      </c>
      <c r="E105" s="11" t="s">
        <v>693</v>
      </c>
      <c r="F105">
        <f t="shared" si="1"/>
        <v>192171</v>
      </c>
    </row>
    <row r="106" spans="1:6" x14ac:dyDescent="0.35">
      <c r="A106" s="9" t="s">
        <v>809</v>
      </c>
      <c r="B106" s="9" t="s">
        <v>720</v>
      </c>
      <c r="C106" s="9" t="s">
        <v>725</v>
      </c>
      <c r="D106" s="10">
        <v>60</v>
      </c>
      <c r="E106" s="11" t="s">
        <v>693</v>
      </c>
      <c r="F106">
        <f t="shared" si="1"/>
        <v>192206</v>
      </c>
    </row>
    <row r="107" spans="1:6" x14ac:dyDescent="0.35">
      <c r="A107" s="9" t="s">
        <v>810</v>
      </c>
      <c r="B107" s="9" t="s">
        <v>720</v>
      </c>
      <c r="C107" s="9" t="s">
        <v>721</v>
      </c>
      <c r="D107" s="10">
        <v>73.5</v>
      </c>
      <c r="E107" s="11" t="s">
        <v>693</v>
      </c>
      <c r="F107">
        <f t="shared" si="1"/>
        <v>192208</v>
      </c>
    </row>
    <row r="108" spans="1:6" x14ac:dyDescent="0.35">
      <c r="A108" s="9" t="s">
        <v>811</v>
      </c>
      <c r="B108" s="9" t="s">
        <v>720</v>
      </c>
      <c r="C108" s="9" t="s">
        <v>725</v>
      </c>
      <c r="D108" s="10">
        <v>70</v>
      </c>
      <c r="E108" s="11" t="s">
        <v>693</v>
      </c>
      <c r="F108">
        <f t="shared" si="1"/>
        <v>192214</v>
      </c>
    </row>
    <row r="109" spans="1:6" x14ac:dyDescent="0.35">
      <c r="A109" s="9" t="s">
        <v>812</v>
      </c>
      <c r="B109" s="9" t="s">
        <v>720</v>
      </c>
      <c r="C109" s="9" t="s">
        <v>725</v>
      </c>
      <c r="D109" s="10">
        <v>27</v>
      </c>
      <c r="E109" s="11" t="s">
        <v>693</v>
      </c>
      <c r="F109">
        <f t="shared" si="1"/>
        <v>192215</v>
      </c>
    </row>
    <row r="110" spans="1:6" x14ac:dyDescent="0.35">
      <c r="A110" s="9" t="s">
        <v>813</v>
      </c>
      <c r="B110" s="9" t="s">
        <v>699</v>
      </c>
      <c r="C110" s="9" t="s">
        <v>700</v>
      </c>
      <c r="D110" s="10">
        <v>123</v>
      </c>
      <c r="E110" s="11" t="s">
        <v>693</v>
      </c>
      <c r="F110">
        <f t="shared" si="1"/>
        <v>192251</v>
      </c>
    </row>
    <row r="111" spans="1:6" x14ac:dyDescent="0.35">
      <c r="A111" s="9" t="s">
        <v>814</v>
      </c>
      <c r="B111" s="9" t="s">
        <v>699</v>
      </c>
      <c r="C111" s="9" t="s">
        <v>709</v>
      </c>
      <c r="D111" s="10">
        <v>39</v>
      </c>
      <c r="E111" s="11" t="s">
        <v>693</v>
      </c>
      <c r="F111">
        <f t="shared" si="1"/>
        <v>192252</v>
      </c>
    </row>
    <row r="112" spans="1:6" x14ac:dyDescent="0.35">
      <c r="A112" s="9" t="s">
        <v>815</v>
      </c>
      <c r="B112" s="9" t="s">
        <v>699</v>
      </c>
      <c r="C112" s="9" t="s">
        <v>702</v>
      </c>
      <c r="D112" s="10">
        <v>13.5</v>
      </c>
      <c r="E112" s="11" t="s">
        <v>693</v>
      </c>
      <c r="F112">
        <f t="shared" si="1"/>
        <v>192254</v>
      </c>
    </row>
    <row r="113" spans="1:6" x14ac:dyDescent="0.35">
      <c r="A113" s="9" t="s">
        <v>816</v>
      </c>
      <c r="B113" s="9" t="s">
        <v>699</v>
      </c>
      <c r="C113" s="9" t="s">
        <v>709</v>
      </c>
      <c r="D113" s="10">
        <v>60</v>
      </c>
      <c r="E113" s="11" t="s">
        <v>693</v>
      </c>
      <c r="F113">
        <f t="shared" si="1"/>
        <v>192255</v>
      </c>
    </row>
    <row r="114" spans="1:6" x14ac:dyDescent="0.35">
      <c r="A114" s="9" t="s">
        <v>817</v>
      </c>
      <c r="B114" s="9" t="s">
        <v>691</v>
      </c>
      <c r="C114" s="9" t="s">
        <v>697</v>
      </c>
      <c r="D114" s="10">
        <v>194.5</v>
      </c>
      <c r="E114" s="11" t="s">
        <v>693</v>
      </c>
      <c r="F114">
        <f t="shared" si="1"/>
        <v>192256</v>
      </c>
    </row>
    <row r="115" spans="1:6" x14ac:dyDescent="0.35">
      <c r="A115" s="9" t="s">
        <v>818</v>
      </c>
      <c r="B115" s="9" t="s">
        <v>691</v>
      </c>
      <c r="C115" s="9" t="s">
        <v>695</v>
      </c>
      <c r="D115" s="10">
        <v>189</v>
      </c>
      <c r="E115" s="11" t="s">
        <v>693</v>
      </c>
      <c r="F115">
        <f t="shared" si="1"/>
        <v>192257</v>
      </c>
    </row>
    <row r="116" spans="1:6" x14ac:dyDescent="0.35">
      <c r="A116" s="9" t="s">
        <v>1307</v>
      </c>
      <c r="B116" s="9" t="s">
        <v>691</v>
      </c>
      <c r="C116" s="9" t="s">
        <v>695</v>
      </c>
      <c r="D116" s="10">
        <v>292</v>
      </c>
      <c r="E116" s="11" t="s">
        <v>693</v>
      </c>
      <c r="F116">
        <f t="shared" si="1"/>
        <v>192259</v>
      </c>
    </row>
    <row r="117" spans="1:6" x14ac:dyDescent="0.35">
      <c r="A117" s="9" t="s">
        <v>819</v>
      </c>
      <c r="B117" s="9" t="s">
        <v>691</v>
      </c>
      <c r="C117" s="9" t="s">
        <v>695</v>
      </c>
      <c r="D117" s="10">
        <v>248</v>
      </c>
      <c r="E117" s="11" t="s">
        <v>693</v>
      </c>
      <c r="F117">
        <f t="shared" si="1"/>
        <v>192260</v>
      </c>
    </row>
    <row r="118" spans="1:6" x14ac:dyDescent="0.35">
      <c r="A118" s="9" t="s">
        <v>1308</v>
      </c>
      <c r="B118" s="9" t="s">
        <v>691</v>
      </c>
      <c r="C118" s="9" t="s">
        <v>695</v>
      </c>
      <c r="D118" s="10">
        <v>96</v>
      </c>
      <c r="E118" s="11" t="s">
        <v>693</v>
      </c>
      <c r="F118">
        <f t="shared" si="1"/>
        <v>192262</v>
      </c>
    </row>
    <row r="119" spans="1:6" x14ac:dyDescent="0.35">
      <c r="A119" s="9" t="s">
        <v>820</v>
      </c>
      <c r="B119" s="9" t="s">
        <v>691</v>
      </c>
      <c r="C119" s="9" t="s">
        <v>740</v>
      </c>
      <c r="D119" s="10">
        <v>35</v>
      </c>
      <c r="E119" s="11" t="s">
        <v>693</v>
      </c>
      <c r="F119">
        <f t="shared" si="1"/>
        <v>192263</v>
      </c>
    </row>
    <row r="120" spans="1:6" x14ac:dyDescent="0.35">
      <c r="A120" s="9" t="s">
        <v>821</v>
      </c>
      <c r="B120" s="9" t="s">
        <v>691</v>
      </c>
      <c r="C120" s="9" t="s">
        <v>695</v>
      </c>
      <c r="D120" s="10">
        <v>135</v>
      </c>
      <c r="E120" s="11" t="s">
        <v>693</v>
      </c>
      <c r="F120">
        <f t="shared" si="1"/>
        <v>192265</v>
      </c>
    </row>
    <row r="121" spans="1:6" x14ac:dyDescent="0.35">
      <c r="A121" s="9" t="s">
        <v>822</v>
      </c>
      <c r="B121" s="9" t="s">
        <v>691</v>
      </c>
      <c r="C121" s="9" t="s">
        <v>695</v>
      </c>
      <c r="D121" s="10">
        <v>213.5</v>
      </c>
      <c r="E121" s="11" t="s">
        <v>693</v>
      </c>
      <c r="F121">
        <f t="shared" si="1"/>
        <v>192267</v>
      </c>
    </row>
    <row r="122" spans="1:6" x14ac:dyDescent="0.35">
      <c r="A122" s="9" t="s">
        <v>823</v>
      </c>
      <c r="B122" s="9" t="s">
        <v>691</v>
      </c>
      <c r="C122" s="9" t="s">
        <v>695</v>
      </c>
      <c r="D122" s="10">
        <v>328</v>
      </c>
      <c r="E122" s="11" t="s">
        <v>693</v>
      </c>
      <c r="F122">
        <f t="shared" si="1"/>
        <v>192268</v>
      </c>
    </row>
    <row r="123" spans="1:6" x14ac:dyDescent="0.35">
      <c r="A123" s="9" t="s">
        <v>824</v>
      </c>
      <c r="B123" s="9" t="s">
        <v>691</v>
      </c>
      <c r="C123" s="9" t="s">
        <v>728</v>
      </c>
      <c r="D123" s="10">
        <v>60.5</v>
      </c>
      <c r="E123" s="11" t="s">
        <v>693</v>
      </c>
      <c r="F123">
        <f t="shared" si="1"/>
        <v>192269</v>
      </c>
    </row>
    <row r="124" spans="1:6" x14ac:dyDescent="0.35">
      <c r="A124" s="9" t="s">
        <v>825</v>
      </c>
      <c r="B124" s="9" t="s">
        <v>720</v>
      </c>
      <c r="C124" s="9" t="s">
        <v>721</v>
      </c>
      <c r="D124" s="10">
        <v>12</v>
      </c>
      <c r="E124" s="11" t="s">
        <v>693</v>
      </c>
      <c r="F124">
        <f t="shared" si="1"/>
        <v>192271</v>
      </c>
    </row>
    <row r="125" spans="1:6" x14ac:dyDescent="0.35">
      <c r="A125" s="9" t="s">
        <v>826</v>
      </c>
      <c r="B125" s="9" t="s">
        <v>720</v>
      </c>
      <c r="C125" s="9" t="s">
        <v>721</v>
      </c>
      <c r="D125" s="10">
        <v>7</v>
      </c>
      <c r="E125" s="11" t="s">
        <v>693</v>
      </c>
      <c r="F125">
        <f t="shared" si="1"/>
        <v>192273</v>
      </c>
    </row>
    <row r="126" spans="1:6" x14ac:dyDescent="0.35">
      <c r="A126" s="9" t="s">
        <v>827</v>
      </c>
      <c r="B126" s="9" t="s">
        <v>720</v>
      </c>
      <c r="C126" s="9" t="s">
        <v>721</v>
      </c>
      <c r="D126" s="10">
        <v>87.5</v>
      </c>
      <c r="E126" s="11" t="s">
        <v>693</v>
      </c>
      <c r="F126">
        <f t="shared" si="1"/>
        <v>192656</v>
      </c>
    </row>
    <row r="127" spans="1:6" x14ac:dyDescent="0.35">
      <c r="A127" s="9" t="s">
        <v>828</v>
      </c>
      <c r="B127" s="9" t="s">
        <v>691</v>
      </c>
      <c r="C127" s="9" t="s">
        <v>733</v>
      </c>
      <c r="D127" s="10">
        <v>60</v>
      </c>
      <c r="E127" s="11" t="s">
        <v>693</v>
      </c>
      <c r="F127">
        <f t="shared" si="1"/>
        <v>192876</v>
      </c>
    </row>
    <row r="128" spans="1:6" x14ac:dyDescent="0.35">
      <c r="A128" s="9" t="s">
        <v>829</v>
      </c>
      <c r="B128" s="9" t="s">
        <v>691</v>
      </c>
      <c r="C128" s="9" t="s">
        <v>740</v>
      </c>
      <c r="D128" s="10">
        <v>300</v>
      </c>
      <c r="E128" s="11" t="s">
        <v>693</v>
      </c>
      <c r="F128">
        <f t="shared" si="1"/>
        <v>192877</v>
      </c>
    </row>
    <row r="129" spans="1:6" x14ac:dyDescent="0.35">
      <c r="A129" s="9" t="s">
        <v>830</v>
      </c>
      <c r="B129" s="9" t="s">
        <v>691</v>
      </c>
      <c r="C129" s="9" t="s">
        <v>733</v>
      </c>
      <c r="D129" s="10">
        <v>58</v>
      </c>
      <c r="E129" s="11" t="s">
        <v>693</v>
      </c>
      <c r="F129">
        <f t="shared" si="1"/>
        <v>193203</v>
      </c>
    </row>
    <row r="130" spans="1:6" x14ac:dyDescent="0.35">
      <c r="A130" s="9" t="s">
        <v>831</v>
      </c>
      <c r="B130" s="9" t="s">
        <v>691</v>
      </c>
      <c r="C130" s="9" t="s">
        <v>733</v>
      </c>
      <c r="D130" s="10">
        <v>24</v>
      </c>
      <c r="E130" s="11" t="s">
        <v>693</v>
      </c>
      <c r="F130">
        <f t="shared" si="1"/>
        <v>193205</v>
      </c>
    </row>
    <row r="131" spans="1:6" x14ac:dyDescent="0.35">
      <c r="A131" s="9" t="s">
        <v>832</v>
      </c>
      <c r="B131" s="9" t="s">
        <v>691</v>
      </c>
      <c r="C131" s="9" t="s">
        <v>695</v>
      </c>
      <c r="D131" s="10">
        <v>335</v>
      </c>
      <c r="E131" s="11" t="s">
        <v>693</v>
      </c>
      <c r="F131">
        <f t="shared" ref="F131:F194" si="2">VALUE(LEFT(A131,FIND(" ",A131)-1))</f>
        <v>194146</v>
      </c>
    </row>
    <row r="132" spans="1:6" x14ac:dyDescent="0.35">
      <c r="A132" s="9" t="s">
        <v>833</v>
      </c>
      <c r="B132" s="9" t="s">
        <v>691</v>
      </c>
      <c r="C132" s="9" t="s">
        <v>740</v>
      </c>
      <c r="D132" s="10">
        <v>70</v>
      </c>
      <c r="E132" s="11" t="s">
        <v>693</v>
      </c>
      <c r="F132">
        <f t="shared" si="2"/>
        <v>194558</v>
      </c>
    </row>
    <row r="133" spans="1:6" x14ac:dyDescent="0.35">
      <c r="A133" s="9" t="s">
        <v>834</v>
      </c>
      <c r="B133" s="9" t="s">
        <v>720</v>
      </c>
      <c r="C133" s="9" t="s">
        <v>725</v>
      </c>
      <c r="D133" s="10">
        <v>43</v>
      </c>
      <c r="E133" s="11" t="s">
        <v>693</v>
      </c>
      <c r="F133">
        <f t="shared" si="2"/>
        <v>194979</v>
      </c>
    </row>
    <row r="134" spans="1:6" x14ac:dyDescent="0.35">
      <c r="A134" s="9" t="s">
        <v>835</v>
      </c>
      <c r="B134" s="9" t="s">
        <v>720</v>
      </c>
      <c r="C134" s="9" t="s">
        <v>721</v>
      </c>
      <c r="D134" s="10">
        <v>46.5</v>
      </c>
      <c r="E134" s="11" t="s">
        <v>693</v>
      </c>
      <c r="F134">
        <f t="shared" si="2"/>
        <v>195390</v>
      </c>
    </row>
    <row r="135" spans="1:6" x14ac:dyDescent="0.35">
      <c r="A135" s="9" t="s">
        <v>836</v>
      </c>
      <c r="B135" s="9" t="s">
        <v>691</v>
      </c>
      <c r="C135" s="9" t="s">
        <v>692</v>
      </c>
      <c r="D135" s="10">
        <v>24</v>
      </c>
      <c r="E135" s="11" t="s">
        <v>693</v>
      </c>
      <c r="F135">
        <f t="shared" si="2"/>
        <v>195653</v>
      </c>
    </row>
    <row r="136" spans="1:6" x14ac:dyDescent="0.35">
      <c r="A136" s="9" t="s">
        <v>837</v>
      </c>
      <c r="B136" s="9" t="s">
        <v>699</v>
      </c>
      <c r="C136" s="9" t="s">
        <v>702</v>
      </c>
      <c r="D136" s="10">
        <v>24</v>
      </c>
      <c r="E136" s="11" t="s">
        <v>693</v>
      </c>
      <c r="F136">
        <f t="shared" si="2"/>
        <v>196164</v>
      </c>
    </row>
    <row r="137" spans="1:6" x14ac:dyDescent="0.35">
      <c r="A137" s="9" t="s">
        <v>838</v>
      </c>
      <c r="B137" s="9" t="s">
        <v>699</v>
      </c>
      <c r="C137" s="9" t="s">
        <v>700</v>
      </c>
      <c r="D137" s="10">
        <v>26</v>
      </c>
      <c r="E137" s="11" t="s">
        <v>693</v>
      </c>
      <c r="F137">
        <f t="shared" si="2"/>
        <v>196197</v>
      </c>
    </row>
    <row r="138" spans="1:6" x14ac:dyDescent="0.35">
      <c r="A138" s="9" t="s">
        <v>839</v>
      </c>
      <c r="B138" s="9" t="s">
        <v>691</v>
      </c>
      <c r="C138" s="9" t="s">
        <v>697</v>
      </c>
      <c r="D138" s="10">
        <v>76.5</v>
      </c>
      <c r="E138" s="11" t="s">
        <v>693</v>
      </c>
      <c r="F138">
        <f t="shared" si="2"/>
        <v>197572</v>
      </c>
    </row>
    <row r="139" spans="1:6" x14ac:dyDescent="0.35">
      <c r="A139" s="9" t="s">
        <v>840</v>
      </c>
      <c r="B139" s="9" t="s">
        <v>691</v>
      </c>
      <c r="C139" s="9" t="s">
        <v>697</v>
      </c>
      <c r="D139" s="10">
        <v>115</v>
      </c>
      <c r="E139" s="11" t="s">
        <v>693</v>
      </c>
      <c r="F139">
        <f t="shared" si="2"/>
        <v>197645</v>
      </c>
    </row>
    <row r="140" spans="1:6" x14ac:dyDescent="0.35">
      <c r="A140" s="9" t="s">
        <v>841</v>
      </c>
      <c r="B140" s="9" t="s">
        <v>699</v>
      </c>
      <c r="C140" s="9" t="s">
        <v>709</v>
      </c>
      <c r="D140" s="10">
        <v>120</v>
      </c>
      <c r="E140" s="11" t="s">
        <v>693</v>
      </c>
      <c r="F140">
        <f t="shared" si="2"/>
        <v>197680</v>
      </c>
    </row>
    <row r="141" spans="1:6" x14ac:dyDescent="0.35">
      <c r="A141" s="9" t="s">
        <v>842</v>
      </c>
      <c r="B141" s="9" t="s">
        <v>720</v>
      </c>
      <c r="C141" s="9" t="s">
        <v>721</v>
      </c>
      <c r="D141" s="10">
        <v>18</v>
      </c>
      <c r="E141" s="11" t="s">
        <v>693</v>
      </c>
      <c r="F141">
        <f t="shared" si="2"/>
        <v>198477</v>
      </c>
    </row>
    <row r="142" spans="1:6" x14ac:dyDescent="0.35">
      <c r="A142" s="9" t="s">
        <v>843</v>
      </c>
      <c r="B142" s="9" t="s">
        <v>699</v>
      </c>
      <c r="C142" s="9" t="s">
        <v>709</v>
      </c>
      <c r="D142" s="10">
        <v>37</v>
      </c>
      <c r="E142" s="11" t="s">
        <v>693</v>
      </c>
      <c r="F142">
        <f t="shared" si="2"/>
        <v>198744</v>
      </c>
    </row>
    <row r="143" spans="1:6" x14ac:dyDescent="0.35">
      <c r="A143" s="9" t="s">
        <v>844</v>
      </c>
      <c r="B143" s="9" t="s">
        <v>691</v>
      </c>
      <c r="C143" s="9" t="s">
        <v>740</v>
      </c>
      <c r="D143" s="10">
        <v>175</v>
      </c>
      <c r="E143" s="11" t="s">
        <v>693</v>
      </c>
      <c r="F143">
        <f t="shared" si="2"/>
        <v>202488</v>
      </c>
    </row>
    <row r="144" spans="1:6" x14ac:dyDescent="0.35">
      <c r="A144" s="9" t="s">
        <v>845</v>
      </c>
      <c r="B144" s="9" t="s">
        <v>699</v>
      </c>
      <c r="C144" s="9" t="s">
        <v>709</v>
      </c>
      <c r="D144" s="10">
        <v>3</v>
      </c>
      <c r="E144" s="11" t="s">
        <v>693</v>
      </c>
      <c r="F144">
        <f t="shared" si="2"/>
        <v>202494</v>
      </c>
    </row>
    <row r="145" spans="1:6" x14ac:dyDescent="0.35">
      <c r="A145" s="9" t="s">
        <v>846</v>
      </c>
      <c r="B145" s="9" t="s">
        <v>691</v>
      </c>
      <c r="C145" s="9" t="s">
        <v>733</v>
      </c>
      <c r="D145" s="10">
        <v>60.5</v>
      </c>
      <c r="E145" s="11" t="s">
        <v>693</v>
      </c>
      <c r="F145">
        <f t="shared" si="2"/>
        <v>203201</v>
      </c>
    </row>
    <row r="146" spans="1:6" x14ac:dyDescent="0.35">
      <c r="A146" s="9" t="s">
        <v>847</v>
      </c>
      <c r="B146" s="9" t="s">
        <v>699</v>
      </c>
      <c r="C146" s="9" t="s">
        <v>709</v>
      </c>
      <c r="D146" s="10">
        <v>20</v>
      </c>
      <c r="E146" s="11" t="s">
        <v>693</v>
      </c>
      <c r="F146">
        <f t="shared" si="2"/>
        <v>203450</v>
      </c>
    </row>
    <row r="147" spans="1:6" x14ac:dyDescent="0.35">
      <c r="A147" s="9" t="s">
        <v>848</v>
      </c>
      <c r="B147" s="9" t="s">
        <v>691</v>
      </c>
      <c r="C147" s="9" t="s">
        <v>733</v>
      </c>
      <c r="D147" s="10">
        <v>50</v>
      </c>
      <c r="E147" s="11" t="s">
        <v>693</v>
      </c>
      <c r="F147">
        <f t="shared" si="2"/>
        <v>204098</v>
      </c>
    </row>
    <row r="148" spans="1:6" x14ac:dyDescent="0.35">
      <c r="A148" s="9" t="s">
        <v>849</v>
      </c>
      <c r="B148" s="9" t="s">
        <v>699</v>
      </c>
      <c r="C148" s="9" t="s">
        <v>709</v>
      </c>
      <c r="D148" s="10">
        <v>70</v>
      </c>
      <c r="E148" s="11" t="s">
        <v>693</v>
      </c>
      <c r="F148">
        <f t="shared" si="2"/>
        <v>205829</v>
      </c>
    </row>
    <row r="149" spans="1:6" x14ac:dyDescent="0.35">
      <c r="A149" s="9" t="s">
        <v>850</v>
      </c>
      <c r="B149" s="9" t="s">
        <v>699</v>
      </c>
      <c r="C149" s="9" t="s">
        <v>709</v>
      </c>
      <c r="D149" s="10">
        <v>42</v>
      </c>
      <c r="E149" s="11" t="s">
        <v>693</v>
      </c>
      <c r="F149">
        <f t="shared" si="2"/>
        <v>205938</v>
      </c>
    </row>
    <row r="150" spans="1:6" x14ac:dyDescent="0.35">
      <c r="A150" s="9" t="s">
        <v>851</v>
      </c>
      <c r="B150" s="9" t="s">
        <v>699</v>
      </c>
      <c r="C150" s="9" t="s">
        <v>709</v>
      </c>
      <c r="D150" s="10">
        <v>27</v>
      </c>
      <c r="E150" s="11" t="s">
        <v>693</v>
      </c>
      <c r="F150">
        <f t="shared" si="2"/>
        <v>206324</v>
      </c>
    </row>
    <row r="151" spans="1:6" x14ac:dyDescent="0.35">
      <c r="A151" s="9" t="s">
        <v>852</v>
      </c>
      <c r="B151" s="9" t="s">
        <v>691</v>
      </c>
      <c r="C151" s="9" t="s">
        <v>740</v>
      </c>
      <c r="D151" s="10">
        <v>115</v>
      </c>
      <c r="E151" s="11" t="s">
        <v>693</v>
      </c>
      <c r="F151">
        <f t="shared" si="2"/>
        <v>208043</v>
      </c>
    </row>
    <row r="152" spans="1:6" x14ac:dyDescent="0.35">
      <c r="A152" s="9" t="s">
        <v>853</v>
      </c>
      <c r="B152" s="9" t="s">
        <v>699</v>
      </c>
      <c r="C152" s="9" t="s">
        <v>700</v>
      </c>
      <c r="D152" s="10">
        <v>98</v>
      </c>
      <c r="E152" s="11" t="s">
        <v>693</v>
      </c>
      <c r="F152">
        <f t="shared" si="2"/>
        <v>208063</v>
      </c>
    </row>
    <row r="153" spans="1:6" x14ac:dyDescent="0.35">
      <c r="A153" s="9" t="s">
        <v>854</v>
      </c>
      <c r="B153" s="9" t="s">
        <v>699</v>
      </c>
      <c r="C153" s="9" t="s">
        <v>700</v>
      </c>
      <c r="D153" s="10">
        <v>6</v>
      </c>
      <c r="E153" s="11" t="s">
        <v>693</v>
      </c>
      <c r="F153">
        <f t="shared" si="2"/>
        <v>208242</v>
      </c>
    </row>
    <row r="154" spans="1:6" x14ac:dyDescent="0.35">
      <c r="A154" s="9" t="s">
        <v>855</v>
      </c>
      <c r="B154" s="9" t="s">
        <v>691</v>
      </c>
      <c r="C154" s="9" t="s">
        <v>740</v>
      </c>
      <c r="D154" s="10">
        <v>45</v>
      </c>
      <c r="E154" s="11" t="s">
        <v>693</v>
      </c>
      <c r="F154">
        <f t="shared" si="2"/>
        <v>208865</v>
      </c>
    </row>
    <row r="155" spans="1:6" x14ac:dyDescent="0.35">
      <c r="A155" s="9" t="s">
        <v>856</v>
      </c>
      <c r="B155" s="9" t="s">
        <v>691</v>
      </c>
      <c r="C155" s="9" t="s">
        <v>740</v>
      </c>
      <c r="D155" s="10">
        <v>20</v>
      </c>
      <c r="E155" s="11" t="s">
        <v>693</v>
      </c>
      <c r="F155">
        <f t="shared" si="2"/>
        <v>208883</v>
      </c>
    </row>
    <row r="156" spans="1:6" x14ac:dyDescent="0.35">
      <c r="A156" s="9" t="s">
        <v>857</v>
      </c>
      <c r="B156" s="9" t="s">
        <v>691</v>
      </c>
      <c r="C156" s="9" t="s">
        <v>728</v>
      </c>
      <c r="D156" s="10">
        <v>36</v>
      </c>
      <c r="E156" s="11" t="s">
        <v>693</v>
      </c>
      <c r="F156">
        <f t="shared" si="2"/>
        <v>208886</v>
      </c>
    </row>
    <row r="157" spans="1:6" x14ac:dyDescent="0.35">
      <c r="A157" s="9" t="s">
        <v>858</v>
      </c>
      <c r="B157" s="9" t="s">
        <v>699</v>
      </c>
      <c r="C157" s="9" t="s">
        <v>709</v>
      </c>
      <c r="D157" s="10">
        <v>9</v>
      </c>
      <c r="E157" s="11" t="s">
        <v>693</v>
      </c>
      <c r="F157">
        <f t="shared" si="2"/>
        <v>209709</v>
      </c>
    </row>
    <row r="158" spans="1:6" x14ac:dyDescent="0.35">
      <c r="A158" s="9" t="s">
        <v>859</v>
      </c>
      <c r="B158" s="9" t="s">
        <v>699</v>
      </c>
      <c r="C158" s="9" t="s">
        <v>702</v>
      </c>
      <c r="D158" s="10">
        <v>42</v>
      </c>
      <c r="E158" s="11" t="s">
        <v>693</v>
      </c>
      <c r="F158">
        <f t="shared" si="2"/>
        <v>209798</v>
      </c>
    </row>
    <row r="159" spans="1:6" x14ac:dyDescent="0.35">
      <c r="A159" s="9" t="s">
        <v>860</v>
      </c>
      <c r="B159" s="9" t="s">
        <v>691</v>
      </c>
      <c r="C159" s="9" t="s">
        <v>733</v>
      </c>
      <c r="D159" s="10">
        <v>21.5</v>
      </c>
      <c r="E159" s="11" t="s">
        <v>693</v>
      </c>
      <c r="F159">
        <f t="shared" si="2"/>
        <v>210727</v>
      </c>
    </row>
    <row r="160" spans="1:6" x14ac:dyDescent="0.35">
      <c r="A160" s="9" t="s">
        <v>861</v>
      </c>
      <c r="B160" s="9" t="s">
        <v>691</v>
      </c>
      <c r="C160" s="9" t="s">
        <v>728</v>
      </c>
      <c r="D160" s="10">
        <v>15</v>
      </c>
      <c r="E160" s="11" t="s">
        <v>693</v>
      </c>
      <c r="F160">
        <f t="shared" si="2"/>
        <v>211804</v>
      </c>
    </row>
    <row r="161" spans="1:6" x14ac:dyDescent="0.35">
      <c r="A161" s="9" t="s">
        <v>862</v>
      </c>
      <c r="B161" s="9" t="s">
        <v>699</v>
      </c>
      <c r="C161" s="9" t="s">
        <v>700</v>
      </c>
      <c r="D161" s="10">
        <v>58</v>
      </c>
      <c r="E161" s="11" t="s">
        <v>693</v>
      </c>
      <c r="F161">
        <f t="shared" si="2"/>
        <v>211844</v>
      </c>
    </row>
    <row r="162" spans="1:6" x14ac:dyDescent="0.35">
      <c r="A162" s="9" t="s">
        <v>863</v>
      </c>
      <c r="B162" s="9" t="s">
        <v>691</v>
      </c>
      <c r="C162" s="9" t="s">
        <v>697</v>
      </c>
      <c r="D162" s="10">
        <v>77.5</v>
      </c>
      <c r="E162" s="11" t="s">
        <v>693</v>
      </c>
      <c r="F162">
        <f t="shared" si="2"/>
        <v>212785</v>
      </c>
    </row>
    <row r="163" spans="1:6" x14ac:dyDescent="0.35">
      <c r="A163" s="9" t="s">
        <v>864</v>
      </c>
      <c r="B163" s="9" t="s">
        <v>699</v>
      </c>
      <c r="C163" s="9" t="s">
        <v>700</v>
      </c>
      <c r="D163" s="10">
        <v>21</v>
      </c>
      <c r="E163" s="11" t="s">
        <v>693</v>
      </c>
      <c r="F163">
        <f t="shared" si="2"/>
        <v>213863</v>
      </c>
    </row>
    <row r="164" spans="1:6" x14ac:dyDescent="0.35">
      <c r="A164" s="9" t="s">
        <v>865</v>
      </c>
      <c r="B164" s="9" t="s">
        <v>691</v>
      </c>
      <c r="C164" s="9" t="s">
        <v>695</v>
      </c>
      <c r="D164" s="10">
        <v>219.5</v>
      </c>
      <c r="E164" s="11" t="s">
        <v>693</v>
      </c>
      <c r="F164">
        <f t="shared" si="2"/>
        <v>214557</v>
      </c>
    </row>
    <row r="165" spans="1:6" x14ac:dyDescent="0.35">
      <c r="A165" s="9" t="s">
        <v>866</v>
      </c>
      <c r="B165" s="9" t="s">
        <v>691</v>
      </c>
      <c r="C165" s="9" t="s">
        <v>695</v>
      </c>
      <c r="D165" s="10">
        <v>199.5</v>
      </c>
      <c r="E165" s="11" t="s">
        <v>693</v>
      </c>
      <c r="F165">
        <f t="shared" si="2"/>
        <v>215051</v>
      </c>
    </row>
    <row r="166" spans="1:6" x14ac:dyDescent="0.35">
      <c r="A166" s="9" t="s">
        <v>867</v>
      </c>
      <c r="B166" s="9" t="s">
        <v>691</v>
      </c>
      <c r="C166" s="9" t="s">
        <v>695</v>
      </c>
      <c r="D166" s="10">
        <v>252</v>
      </c>
      <c r="E166" s="11" t="s">
        <v>693</v>
      </c>
      <c r="F166">
        <f t="shared" si="2"/>
        <v>215984</v>
      </c>
    </row>
    <row r="167" spans="1:6" x14ac:dyDescent="0.35">
      <c r="A167" s="9" t="s">
        <v>868</v>
      </c>
      <c r="B167" s="9" t="s">
        <v>699</v>
      </c>
      <c r="C167" s="9" t="s">
        <v>709</v>
      </c>
      <c r="D167" s="10">
        <v>6</v>
      </c>
      <c r="E167" s="11" t="s">
        <v>693</v>
      </c>
      <c r="F167">
        <f t="shared" si="2"/>
        <v>216281</v>
      </c>
    </row>
    <row r="168" spans="1:6" x14ac:dyDescent="0.35">
      <c r="A168" s="9" t="s">
        <v>869</v>
      </c>
      <c r="B168" s="9" t="s">
        <v>720</v>
      </c>
      <c r="C168" s="9" t="s">
        <v>721</v>
      </c>
      <c r="D168" s="10">
        <v>30</v>
      </c>
      <c r="E168" s="11" t="s">
        <v>693</v>
      </c>
      <c r="F168">
        <f t="shared" si="2"/>
        <v>216783</v>
      </c>
    </row>
    <row r="169" spans="1:6" x14ac:dyDescent="0.35">
      <c r="A169" s="9" t="s">
        <v>870</v>
      </c>
      <c r="B169" s="9" t="s">
        <v>691</v>
      </c>
      <c r="C169" s="9" t="s">
        <v>695</v>
      </c>
      <c r="D169" s="10">
        <v>199.5</v>
      </c>
      <c r="E169" s="11" t="s">
        <v>693</v>
      </c>
      <c r="F169">
        <f t="shared" si="2"/>
        <v>216792</v>
      </c>
    </row>
    <row r="170" spans="1:6" x14ac:dyDescent="0.35">
      <c r="A170" s="9" t="s">
        <v>871</v>
      </c>
      <c r="B170" s="9" t="s">
        <v>720</v>
      </c>
      <c r="C170" s="9" t="s">
        <v>725</v>
      </c>
      <c r="D170" s="10">
        <v>6</v>
      </c>
      <c r="E170" s="11" t="s">
        <v>693</v>
      </c>
      <c r="F170">
        <f t="shared" si="2"/>
        <v>218041</v>
      </c>
    </row>
    <row r="171" spans="1:6" x14ac:dyDescent="0.35">
      <c r="A171" s="9" t="s">
        <v>872</v>
      </c>
      <c r="B171" s="9" t="s">
        <v>699</v>
      </c>
      <c r="C171" s="9" t="s">
        <v>702</v>
      </c>
      <c r="D171" s="10">
        <v>24</v>
      </c>
      <c r="E171" s="11" t="s">
        <v>693</v>
      </c>
      <c r="F171">
        <f t="shared" si="2"/>
        <v>221803</v>
      </c>
    </row>
    <row r="172" spans="1:6" x14ac:dyDescent="0.35">
      <c r="A172" s="9" t="s">
        <v>873</v>
      </c>
      <c r="B172" s="9" t="s">
        <v>691</v>
      </c>
      <c r="C172" s="9" t="s">
        <v>728</v>
      </c>
      <c r="D172" s="10">
        <v>70</v>
      </c>
      <c r="E172" s="11" t="s">
        <v>693</v>
      </c>
      <c r="F172">
        <f t="shared" si="2"/>
        <v>222319</v>
      </c>
    </row>
    <row r="173" spans="1:6" x14ac:dyDescent="0.35">
      <c r="A173" s="9" t="s">
        <v>874</v>
      </c>
      <c r="B173" s="9" t="s">
        <v>691</v>
      </c>
      <c r="C173" s="9" t="s">
        <v>692</v>
      </c>
      <c r="D173" s="10">
        <v>85</v>
      </c>
      <c r="E173" s="11" t="s">
        <v>693</v>
      </c>
      <c r="F173">
        <f t="shared" si="2"/>
        <v>222515</v>
      </c>
    </row>
    <row r="174" spans="1:6" x14ac:dyDescent="0.35">
      <c r="A174" s="9" t="s">
        <v>875</v>
      </c>
      <c r="B174" s="9" t="s">
        <v>699</v>
      </c>
      <c r="C174" s="9" t="s">
        <v>702</v>
      </c>
      <c r="D174" s="10">
        <v>49</v>
      </c>
      <c r="E174" s="11" t="s">
        <v>693</v>
      </c>
      <c r="F174">
        <f t="shared" si="2"/>
        <v>222614</v>
      </c>
    </row>
    <row r="175" spans="1:6" x14ac:dyDescent="0.35">
      <c r="A175" s="9" t="s">
        <v>876</v>
      </c>
      <c r="B175" s="9" t="s">
        <v>691</v>
      </c>
      <c r="C175" s="9" t="s">
        <v>740</v>
      </c>
      <c r="D175" s="10">
        <v>30</v>
      </c>
      <c r="E175" s="11" t="s">
        <v>693</v>
      </c>
      <c r="F175">
        <f t="shared" si="2"/>
        <v>223995</v>
      </c>
    </row>
    <row r="176" spans="1:6" x14ac:dyDescent="0.35">
      <c r="A176" s="9" t="s">
        <v>877</v>
      </c>
      <c r="B176" s="9" t="s">
        <v>720</v>
      </c>
      <c r="C176" s="9" t="s">
        <v>725</v>
      </c>
      <c r="D176" s="10">
        <v>24.5</v>
      </c>
      <c r="E176" s="11" t="s">
        <v>693</v>
      </c>
      <c r="F176">
        <f t="shared" si="2"/>
        <v>224590</v>
      </c>
    </row>
    <row r="177" spans="1:6" x14ac:dyDescent="0.35">
      <c r="A177" s="9" t="s">
        <v>878</v>
      </c>
      <c r="B177" s="9" t="s">
        <v>699</v>
      </c>
      <c r="C177" s="9" t="s">
        <v>702</v>
      </c>
      <c r="D177" s="10">
        <v>28</v>
      </c>
      <c r="E177" s="11" t="s">
        <v>693</v>
      </c>
      <c r="F177">
        <f t="shared" si="2"/>
        <v>224595</v>
      </c>
    </row>
    <row r="178" spans="1:6" x14ac:dyDescent="0.35">
      <c r="A178" s="9" t="s">
        <v>879</v>
      </c>
      <c r="B178" s="9" t="s">
        <v>699</v>
      </c>
      <c r="C178" s="9" t="s">
        <v>700</v>
      </c>
      <c r="D178" s="10">
        <v>60</v>
      </c>
      <c r="E178" s="11" t="s">
        <v>693</v>
      </c>
      <c r="F178">
        <f t="shared" si="2"/>
        <v>225490</v>
      </c>
    </row>
    <row r="179" spans="1:6" x14ac:dyDescent="0.35">
      <c r="A179" s="9" t="s">
        <v>880</v>
      </c>
      <c r="B179" s="9" t="s">
        <v>699</v>
      </c>
      <c r="C179" s="9" t="s">
        <v>702</v>
      </c>
      <c r="D179" s="10">
        <v>36</v>
      </c>
      <c r="E179" s="11" t="s">
        <v>693</v>
      </c>
      <c r="F179">
        <f t="shared" si="2"/>
        <v>225492</v>
      </c>
    </row>
    <row r="180" spans="1:6" x14ac:dyDescent="0.35">
      <c r="A180" s="9" t="s">
        <v>881</v>
      </c>
      <c r="B180" s="9" t="s">
        <v>699</v>
      </c>
      <c r="C180" s="9" t="s">
        <v>702</v>
      </c>
      <c r="D180" s="10">
        <v>28.5</v>
      </c>
      <c r="E180" s="11" t="s">
        <v>693</v>
      </c>
      <c r="F180">
        <f t="shared" si="2"/>
        <v>226104</v>
      </c>
    </row>
    <row r="181" spans="1:6" x14ac:dyDescent="0.35">
      <c r="A181" s="9" t="s">
        <v>882</v>
      </c>
      <c r="B181" s="9" t="s">
        <v>699</v>
      </c>
      <c r="C181" s="9" t="s">
        <v>700</v>
      </c>
      <c r="D181" s="10">
        <v>58</v>
      </c>
      <c r="E181" s="11" t="s">
        <v>693</v>
      </c>
      <c r="F181">
        <f t="shared" si="2"/>
        <v>226334</v>
      </c>
    </row>
    <row r="182" spans="1:6" x14ac:dyDescent="0.35">
      <c r="A182" s="9" t="s">
        <v>883</v>
      </c>
      <c r="B182" s="9" t="s">
        <v>720</v>
      </c>
      <c r="C182" s="9" t="s">
        <v>721</v>
      </c>
      <c r="D182" s="10">
        <v>119</v>
      </c>
      <c r="E182" s="11" t="s">
        <v>693</v>
      </c>
      <c r="F182">
        <f t="shared" si="2"/>
        <v>226485</v>
      </c>
    </row>
    <row r="183" spans="1:6" x14ac:dyDescent="0.35">
      <c r="A183" s="9" t="s">
        <v>884</v>
      </c>
      <c r="B183" s="9" t="s">
        <v>691</v>
      </c>
      <c r="C183" s="9" t="s">
        <v>733</v>
      </c>
      <c r="D183" s="10">
        <v>60</v>
      </c>
      <c r="E183" s="11" t="s">
        <v>693</v>
      </c>
      <c r="F183">
        <f t="shared" si="2"/>
        <v>226494</v>
      </c>
    </row>
    <row r="184" spans="1:6" x14ac:dyDescent="0.35">
      <c r="A184" s="9" t="s">
        <v>885</v>
      </c>
      <c r="B184" s="9" t="s">
        <v>699</v>
      </c>
      <c r="C184" s="9" t="s">
        <v>709</v>
      </c>
      <c r="D184" s="10">
        <v>21</v>
      </c>
      <c r="E184" s="11" t="s">
        <v>693</v>
      </c>
      <c r="F184">
        <f t="shared" si="2"/>
        <v>227265</v>
      </c>
    </row>
    <row r="185" spans="1:6" x14ac:dyDescent="0.35">
      <c r="A185" s="9" t="s">
        <v>886</v>
      </c>
      <c r="B185" s="9" t="s">
        <v>699</v>
      </c>
      <c r="C185" s="9" t="s">
        <v>702</v>
      </c>
      <c r="D185" s="10">
        <v>46</v>
      </c>
      <c r="E185" s="11" t="s">
        <v>693</v>
      </c>
      <c r="F185">
        <f t="shared" si="2"/>
        <v>227915</v>
      </c>
    </row>
    <row r="186" spans="1:6" x14ac:dyDescent="0.35">
      <c r="A186" s="9" t="s">
        <v>887</v>
      </c>
      <c r="B186" s="9" t="s">
        <v>699</v>
      </c>
      <c r="C186" s="9" t="s">
        <v>702</v>
      </c>
      <c r="D186" s="10">
        <v>24.5</v>
      </c>
      <c r="E186" s="11" t="s">
        <v>693</v>
      </c>
      <c r="F186">
        <f t="shared" si="2"/>
        <v>229160</v>
      </c>
    </row>
    <row r="187" spans="1:6" x14ac:dyDescent="0.35">
      <c r="A187" s="9" t="s">
        <v>888</v>
      </c>
      <c r="B187" s="9" t="s">
        <v>720</v>
      </c>
      <c r="C187" s="9" t="s">
        <v>725</v>
      </c>
      <c r="D187" s="10">
        <v>54.5</v>
      </c>
      <c r="E187" s="11" t="s">
        <v>693</v>
      </c>
      <c r="F187">
        <f t="shared" si="2"/>
        <v>231151</v>
      </c>
    </row>
    <row r="188" spans="1:6" x14ac:dyDescent="0.35">
      <c r="A188" s="9" t="s">
        <v>889</v>
      </c>
      <c r="B188" s="9" t="s">
        <v>691</v>
      </c>
      <c r="C188" s="9" t="s">
        <v>695</v>
      </c>
      <c r="D188" s="10">
        <v>111</v>
      </c>
      <c r="E188" s="11" t="s">
        <v>693</v>
      </c>
      <c r="F188">
        <f t="shared" si="2"/>
        <v>233737</v>
      </c>
    </row>
    <row r="189" spans="1:6" x14ac:dyDescent="0.35">
      <c r="A189" s="9" t="s">
        <v>890</v>
      </c>
      <c r="B189" s="9" t="s">
        <v>691</v>
      </c>
      <c r="C189" s="9" t="s">
        <v>740</v>
      </c>
      <c r="D189" s="10">
        <v>135</v>
      </c>
      <c r="E189" s="11" t="s">
        <v>693</v>
      </c>
      <c r="F189">
        <f t="shared" si="2"/>
        <v>234891</v>
      </c>
    </row>
    <row r="190" spans="1:6" x14ac:dyDescent="0.35">
      <c r="A190" s="9" t="s">
        <v>891</v>
      </c>
      <c r="B190" s="9" t="s">
        <v>691</v>
      </c>
      <c r="C190" s="9" t="s">
        <v>692</v>
      </c>
      <c r="D190" s="10">
        <v>21</v>
      </c>
      <c r="E190" s="11" t="s">
        <v>693</v>
      </c>
      <c r="F190">
        <f t="shared" si="2"/>
        <v>234970</v>
      </c>
    </row>
    <row r="191" spans="1:6" x14ac:dyDescent="0.35">
      <c r="A191" s="9" t="s">
        <v>892</v>
      </c>
      <c r="B191" s="9" t="s">
        <v>699</v>
      </c>
      <c r="C191" s="9" t="s">
        <v>709</v>
      </c>
      <c r="D191" s="10">
        <v>6</v>
      </c>
      <c r="E191" s="11" t="s">
        <v>693</v>
      </c>
      <c r="F191">
        <f t="shared" si="2"/>
        <v>241522</v>
      </c>
    </row>
    <row r="192" spans="1:6" x14ac:dyDescent="0.35">
      <c r="A192" s="9" t="s">
        <v>893</v>
      </c>
      <c r="B192" s="9" t="s">
        <v>691</v>
      </c>
      <c r="C192" s="9" t="s">
        <v>740</v>
      </c>
      <c r="D192" s="10">
        <v>50</v>
      </c>
      <c r="E192" s="11" t="s">
        <v>693</v>
      </c>
      <c r="F192">
        <f t="shared" si="2"/>
        <v>242000</v>
      </c>
    </row>
    <row r="193" spans="1:6" x14ac:dyDescent="0.35">
      <c r="A193" s="9" t="s">
        <v>894</v>
      </c>
      <c r="B193" s="9" t="s">
        <v>720</v>
      </c>
      <c r="C193" s="9" t="s">
        <v>721</v>
      </c>
      <c r="D193" s="10">
        <v>17</v>
      </c>
      <c r="E193" s="11" t="s">
        <v>693</v>
      </c>
      <c r="F193">
        <f t="shared" si="2"/>
        <v>243557</v>
      </c>
    </row>
    <row r="194" spans="1:6" x14ac:dyDescent="0.35">
      <c r="A194" s="9" t="s">
        <v>895</v>
      </c>
      <c r="B194" s="9" t="s">
        <v>699</v>
      </c>
      <c r="C194" s="9" t="s">
        <v>700</v>
      </c>
      <c r="D194" s="10">
        <v>60</v>
      </c>
      <c r="E194" s="11" t="s">
        <v>693</v>
      </c>
      <c r="F194">
        <f t="shared" si="2"/>
        <v>244722</v>
      </c>
    </row>
    <row r="195" spans="1:6" x14ac:dyDescent="0.35">
      <c r="A195" s="9" t="s">
        <v>896</v>
      </c>
      <c r="B195" s="9" t="s">
        <v>691</v>
      </c>
      <c r="C195" s="9" t="s">
        <v>728</v>
      </c>
      <c r="D195" s="10">
        <v>12</v>
      </c>
      <c r="E195" s="11" t="s">
        <v>693</v>
      </c>
      <c r="F195">
        <f t="shared" ref="F195:F258" si="3">VALUE(LEFT(A195,FIND(" ",A195)-1))</f>
        <v>244733</v>
      </c>
    </row>
    <row r="196" spans="1:6" x14ac:dyDescent="0.35">
      <c r="A196" s="9" t="s">
        <v>897</v>
      </c>
      <c r="B196" s="9" t="s">
        <v>691</v>
      </c>
      <c r="C196" s="9" t="s">
        <v>695</v>
      </c>
      <c r="D196" s="10">
        <v>299.5</v>
      </c>
      <c r="E196" s="11" t="s">
        <v>693</v>
      </c>
      <c r="F196">
        <f t="shared" si="3"/>
        <v>246627</v>
      </c>
    </row>
    <row r="197" spans="1:6" x14ac:dyDescent="0.35">
      <c r="A197" s="9" t="s">
        <v>898</v>
      </c>
      <c r="B197" s="9" t="s">
        <v>691</v>
      </c>
      <c r="C197" s="9" t="s">
        <v>697</v>
      </c>
      <c r="D197" s="10">
        <v>29</v>
      </c>
      <c r="E197" s="11" t="s">
        <v>693</v>
      </c>
      <c r="F197">
        <f t="shared" si="3"/>
        <v>247371</v>
      </c>
    </row>
    <row r="198" spans="1:6" x14ac:dyDescent="0.35">
      <c r="A198" s="9" t="s">
        <v>899</v>
      </c>
      <c r="B198" s="9" t="s">
        <v>691</v>
      </c>
      <c r="C198" s="9" t="s">
        <v>697</v>
      </c>
      <c r="D198" s="10">
        <v>29</v>
      </c>
      <c r="E198" s="11" t="s">
        <v>693</v>
      </c>
      <c r="F198">
        <f t="shared" si="3"/>
        <v>247504</v>
      </c>
    </row>
    <row r="199" spans="1:6" x14ac:dyDescent="0.35">
      <c r="A199" s="9" t="s">
        <v>900</v>
      </c>
      <c r="B199" s="9" t="s">
        <v>691</v>
      </c>
      <c r="C199" s="9" t="s">
        <v>697</v>
      </c>
      <c r="D199" s="10">
        <v>3</v>
      </c>
      <c r="E199" s="11" t="s">
        <v>693</v>
      </c>
      <c r="F199">
        <f t="shared" si="3"/>
        <v>248455</v>
      </c>
    </row>
    <row r="200" spans="1:6" x14ac:dyDescent="0.35">
      <c r="A200" s="9" t="s">
        <v>901</v>
      </c>
      <c r="B200" s="9" t="s">
        <v>699</v>
      </c>
      <c r="C200" s="9" t="s">
        <v>709</v>
      </c>
      <c r="D200" s="10">
        <v>21</v>
      </c>
      <c r="E200" s="11" t="s">
        <v>693</v>
      </c>
      <c r="F200">
        <f t="shared" si="3"/>
        <v>251092</v>
      </c>
    </row>
    <row r="201" spans="1:6" x14ac:dyDescent="0.35">
      <c r="A201" s="9" t="s">
        <v>902</v>
      </c>
      <c r="B201" s="9" t="s">
        <v>720</v>
      </c>
      <c r="C201" s="9" t="s">
        <v>721</v>
      </c>
      <c r="D201" s="10">
        <v>57</v>
      </c>
      <c r="E201" s="11" t="s">
        <v>693</v>
      </c>
      <c r="F201">
        <f t="shared" si="3"/>
        <v>253797</v>
      </c>
    </row>
    <row r="202" spans="1:6" x14ac:dyDescent="0.35">
      <c r="A202" s="9" t="s">
        <v>903</v>
      </c>
      <c r="B202" s="9" t="s">
        <v>720</v>
      </c>
      <c r="C202" s="9" t="s">
        <v>725</v>
      </c>
      <c r="D202" s="10">
        <v>50</v>
      </c>
      <c r="E202" s="11" t="s">
        <v>693</v>
      </c>
      <c r="F202">
        <f t="shared" si="3"/>
        <v>255618</v>
      </c>
    </row>
    <row r="203" spans="1:6" x14ac:dyDescent="0.35">
      <c r="A203" s="9" t="s">
        <v>904</v>
      </c>
      <c r="B203" s="9" t="s">
        <v>699</v>
      </c>
      <c r="C203" s="9" t="s">
        <v>700</v>
      </c>
      <c r="D203" s="10">
        <v>80.5</v>
      </c>
      <c r="E203" s="11" t="s">
        <v>693</v>
      </c>
      <c r="F203">
        <f t="shared" si="3"/>
        <v>255667</v>
      </c>
    </row>
    <row r="204" spans="1:6" x14ac:dyDescent="0.35">
      <c r="A204" s="9" t="s">
        <v>905</v>
      </c>
      <c r="B204" s="9" t="s">
        <v>699</v>
      </c>
      <c r="C204" s="9" t="s">
        <v>700</v>
      </c>
      <c r="D204" s="10">
        <v>48</v>
      </c>
      <c r="E204" s="11" t="s">
        <v>693</v>
      </c>
      <c r="F204">
        <f t="shared" si="3"/>
        <v>256437</v>
      </c>
    </row>
    <row r="205" spans="1:6" x14ac:dyDescent="0.35">
      <c r="A205" s="9" t="s">
        <v>906</v>
      </c>
      <c r="B205" s="9" t="s">
        <v>699</v>
      </c>
      <c r="C205" s="9" t="s">
        <v>700</v>
      </c>
      <c r="D205" s="10">
        <v>15</v>
      </c>
      <c r="E205" s="11" t="s">
        <v>693</v>
      </c>
      <c r="F205">
        <f t="shared" si="3"/>
        <v>256443</v>
      </c>
    </row>
    <row r="206" spans="1:6" x14ac:dyDescent="0.35">
      <c r="A206" s="9" t="s">
        <v>907</v>
      </c>
      <c r="B206" s="9" t="s">
        <v>691</v>
      </c>
      <c r="C206" s="9" t="s">
        <v>692</v>
      </c>
      <c r="D206" s="10">
        <v>40</v>
      </c>
      <c r="E206" s="11" t="s">
        <v>693</v>
      </c>
      <c r="F206">
        <f t="shared" si="3"/>
        <v>256518</v>
      </c>
    </row>
    <row r="207" spans="1:6" x14ac:dyDescent="0.35">
      <c r="A207" s="9" t="s">
        <v>908</v>
      </c>
      <c r="B207" s="9" t="s">
        <v>720</v>
      </c>
      <c r="C207" s="9" t="s">
        <v>721</v>
      </c>
      <c r="D207" s="10">
        <v>30</v>
      </c>
      <c r="E207" s="11" t="s">
        <v>693</v>
      </c>
      <c r="F207">
        <f t="shared" si="3"/>
        <v>257379</v>
      </c>
    </row>
    <row r="208" spans="1:6" x14ac:dyDescent="0.35">
      <c r="A208" s="9" t="s">
        <v>909</v>
      </c>
      <c r="B208" s="9" t="s">
        <v>691</v>
      </c>
      <c r="C208" s="9" t="s">
        <v>697</v>
      </c>
      <c r="D208" s="10">
        <v>90</v>
      </c>
      <c r="E208" s="11" t="s">
        <v>693</v>
      </c>
      <c r="F208">
        <f t="shared" si="3"/>
        <v>257425</v>
      </c>
    </row>
    <row r="209" spans="1:6" x14ac:dyDescent="0.35">
      <c r="A209" s="9" t="s">
        <v>910</v>
      </c>
      <c r="B209" s="9" t="s">
        <v>691</v>
      </c>
      <c r="C209" s="9" t="s">
        <v>728</v>
      </c>
      <c r="D209" s="10">
        <v>12</v>
      </c>
      <c r="E209" s="11" t="s">
        <v>693</v>
      </c>
      <c r="F209">
        <f t="shared" si="3"/>
        <v>258692</v>
      </c>
    </row>
    <row r="210" spans="1:6" x14ac:dyDescent="0.35">
      <c r="A210" s="9" t="s">
        <v>911</v>
      </c>
      <c r="B210" s="9" t="s">
        <v>691</v>
      </c>
      <c r="C210" s="9" t="s">
        <v>740</v>
      </c>
      <c r="D210" s="10">
        <v>39</v>
      </c>
      <c r="E210" s="11" t="s">
        <v>693</v>
      </c>
      <c r="F210">
        <f t="shared" si="3"/>
        <v>258697</v>
      </c>
    </row>
    <row r="211" spans="1:6" x14ac:dyDescent="0.35">
      <c r="A211" s="9" t="s">
        <v>912</v>
      </c>
      <c r="B211" s="9" t="s">
        <v>699</v>
      </c>
      <c r="C211" s="9" t="s">
        <v>709</v>
      </c>
      <c r="D211" s="10">
        <v>47</v>
      </c>
      <c r="E211" s="11" t="s">
        <v>693</v>
      </c>
      <c r="F211">
        <f t="shared" si="3"/>
        <v>258712</v>
      </c>
    </row>
    <row r="212" spans="1:6" x14ac:dyDescent="0.35">
      <c r="A212" s="9" t="s">
        <v>913</v>
      </c>
      <c r="B212" s="9" t="s">
        <v>699</v>
      </c>
      <c r="C212" s="9" t="s">
        <v>702</v>
      </c>
      <c r="D212" s="10">
        <v>60</v>
      </c>
      <c r="E212" s="11" t="s">
        <v>693</v>
      </c>
      <c r="F212">
        <f t="shared" si="3"/>
        <v>260035</v>
      </c>
    </row>
    <row r="213" spans="1:6" x14ac:dyDescent="0.35">
      <c r="A213" s="9" t="s">
        <v>914</v>
      </c>
      <c r="B213" s="9" t="s">
        <v>691</v>
      </c>
      <c r="C213" s="9" t="s">
        <v>728</v>
      </c>
      <c r="D213" s="10">
        <v>27</v>
      </c>
      <c r="E213" s="11" t="s">
        <v>693</v>
      </c>
      <c r="F213">
        <f t="shared" si="3"/>
        <v>260257</v>
      </c>
    </row>
    <row r="214" spans="1:6" x14ac:dyDescent="0.35">
      <c r="A214" s="9" t="s">
        <v>915</v>
      </c>
      <c r="B214" s="9" t="s">
        <v>691</v>
      </c>
      <c r="C214" s="9" t="s">
        <v>692</v>
      </c>
      <c r="D214" s="10">
        <v>27</v>
      </c>
      <c r="E214" s="11" t="s">
        <v>693</v>
      </c>
      <c r="F214">
        <f t="shared" si="3"/>
        <v>260333</v>
      </c>
    </row>
    <row r="215" spans="1:6" x14ac:dyDescent="0.35">
      <c r="A215" s="9" t="s">
        <v>916</v>
      </c>
      <c r="B215" s="9" t="s">
        <v>691</v>
      </c>
      <c r="C215" s="9" t="s">
        <v>733</v>
      </c>
      <c r="D215" s="10">
        <v>15</v>
      </c>
      <c r="E215" s="11" t="s">
        <v>693</v>
      </c>
      <c r="F215">
        <f t="shared" si="3"/>
        <v>260363</v>
      </c>
    </row>
    <row r="216" spans="1:6" x14ac:dyDescent="0.35">
      <c r="A216" s="9" t="s">
        <v>917</v>
      </c>
      <c r="B216" s="9" t="s">
        <v>720</v>
      </c>
      <c r="C216" s="9" t="s">
        <v>725</v>
      </c>
      <c r="D216" s="10">
        <v>27</v>
      </c>
      <c r="E216" s="11" t="s">
        <v>693</v>
      </c>
      <c r="F216">
        <f t="shared" si="3"/>
        <v>260966</v>
      </c>
    </row>
    <row r="217" spans="1:6" x14ac:dyDescent="0.35">
      <c r="A217" s="9" t="s">
        <v>918</v>
      </c>
      <c r="B217" s="9" t="s">
        <v>720</v>
      </c>
      <c r="C217" s="9" t="s">
        <v>725</v>
      </c>
      <c r="D217" s="10">
        <v>21</v>
      </c>
      <c r="E217" s="11" t="s">
        <v>693</v>
      </c>
      <c r="F217">
        <f t="shared" si="3"/>
        <v>260987</v>
      </c>
    </row>
    <row r="218" spans="1:6" x14ac:dyDescent="0.35">
      <c r="A218" s="9" t="s">
        <v>919</v>
      </c>
      <c r="B218" s="9" t="s">
        <v>691</v>
      </c>
      <c r="C218" s="9" t="s">
        <v>733</v>
      </c>
      <c r="D218" s="10">
        <v>24</v>
      </c>
      <c r="E218" s="11" t="s">
        <v>693</v>
      </c>
      <c r="F218">
        <f t="shared" si="3"/>
        <v>262399</v>
      </c>
    </row>
    <row r="219" spans="1:6" x14ac:dyDescent="0.35">
      <c r="A219" s="9" t="s">
        <v>920</v>
      </c>
      <c r="B219" s="9" t="s">
        <v>691</v>
      </c>
      <c r="C219" s="9" t="s">
        <v>728</v>
      </c>
      <c r="D219" s="10">
        <v>67.5</v>
      </c>
      <c r="E219" s="11" t="s">
        <v>693</v>
      </c>
      <c r="F219">
        <f t="shared" si="3"/>
        <v>262928</v>
      </c>
    </row>
    <row r="220" spans="1:6" x14ac:dyDescent="0.35">
      <c r="A220" s="9" t="s">
        <v>921</v>
      </c>
      <c r="B220" s="9" t="s">
        <v>691</v>
      </c>
      <c r="C220" s="9" t="s">
        <v>728</v>
      </c>
      <c r="D220" s="10">
        <v>12</v>
      </c>
      <c r="E220" s="11" t="s">
        <v>693</v>
      </c>
      <c r="F220">
        <f t="shared" si="3"/>
        <v>263450</v>
      </c>
    </row>
    <row r="221" spans="1:6" x14ac:dyDescent="0.35">
      <c r="A221" s="9" t="s">
        <v>922</v>
      </c>
      <c r="B221" s="9" t="s">
        <v>720</v>
      </c>
      <c r="C221" s="9" t="s">
        <v>721</v>
      </c>
      <c r="D221" s="10">
        <v>111</v>
      </c>
      <c r="E221" s="11" t="s">
        <v>693</v>
      </c>
      <c r="F221">
        <f t="shared" si="3"/>
        <v>264117</v>
      </c>
    </row>
    <row r="222" spans="1:6" x14ac:dyDescent="0.35">
      <c r="A222" s="9" t="s">
        <v>923</v>
      </c>
      <c r="B222" s="9" t="s">
        <v>691</v>
      </c>
      <c r="C222" s="9" t="s">
        <v>733</v>
      </c>
      <c r="D222" s="10">
        <v>27</v>
      </c>
      <c r="E222" s="11" t="s">
        <v>693</v>
      </c>
      <c r="F222">
        <f t="shared" si="3"/>
        <v>264152</v>
      </c>
    </row>
    <row r="223" spans="1:6" x14ac:dyDescent="0.35">
      <c r="A223" s="9" t="s">
        <v>924</v>
      </c>
      <c r="B223" s="9" t="s">
        <v>691</v>
      </c>
      <c r="C223" s="9" t="s">
        <v>728</v>
      </c>
      <c r="D223" s="10">
        <v>65</v>
      </c>
      <c r="E223" s="11" t="s">
        <v>693</v>
      </c>
      <c r="F223">
        <f t="shared" si="3"/>
        <v>264781</v>
      </c>
    </row>
    <row r="224" spans="1:6" x14ac:dyDescent="0.35">
      <c r="A224" s="9" t="s">
        <v>925</v>
      </c>
      <c r="B224" s="9" t="s">
        <v>691</v>
      </c>
      <c r="C224" s="9" t="s">
        <v>697</v>
      </c>
      <c r="D224" s="10">
        <v>25</v>
      </c>
      <c r="E224" s="11" t="s">
        <v>693</v>
      </c>
      <c r="F224">
        <f t="shared" si="3"/>
        <v>264805</v>
      </c>
    </row>
    <row r="225" spans="1:6" x14ac:dyDescent="0.35">
      <c r="A225" s="9" t="s">
        <v>926</v>
      </c>
      <c r="B225" s="9" t="s">
        <v>691</v>
      </c>
      <c r="C225" s="9" t="s">
        <v>733</v>
      </c>
      <c r="D225" s="10">
        <v>24</v>
      </c>
      <c r="E225" s="11" t="s">
        <v>693</v>
      </c>
      <c r="F225">
        <f t="shared" si="3"/>
        <v>264823</v>
      </c>
    </row>
    <row r="226" spans="1:6" x14ac:dyDescent="0.35">
      <c r="A226" s="9" t="s">
        <v>927</v>
      </c>
      <c r="B226" s="9" t="s">
        <v>720</v>
      </c>
      <c r="C226" s="9" t="s">
        <v>725</v>
      </c>
      <c r="D226" s="10">
        <v>49</v>
      </c>
      <c r="E226" s="11" t="s">
        <v>693</v>
      </c>
      <c r="F226">
        <f t="shared" si="3"/>
        <v>265345</v>
      </c>
    </row>
    <row r="227" spans="1:6" x14ac:dyDescent="0.35">
      <c r="A227" s="9" t="s">
        <v>928</v>
      </c>
      <c r="B227" s="9" t="s">
        <v>699</v>
      </c>
      <c r="C227" s="9" t="s">
        <v>702</v>
      </c>
      <c r="D227" s="10">
        <v>56.5</v>
      </c>
      <c r="E227" s="11" t="s">
        <v>693</v>
      </c>
      <c r="F227">
        <f t="shared" si="3"/>
        <v>265363</v>
      </c>
    </row>
    <row r="228" spans="1:6" x14ac:dyDescent="0.35">
      <c r="A228" s="9" t="s">
        <v>929</v>
      </c>
      <c r="B228" s="9" t="s">
        <v>691</v>
      </c>
      <c r="C228" s="9" t="s">
        <v>728</v>
      </c>
      <c r="D228" s="10">
        <v>25</v>
      </c>
      <c r="E228" s="11" t="s">
        <v>693</v>
      </c>
      <c r="F228">
        <f t="shared" si="3"/>
        <v>265453</v>
      </c>
    </row>
    <row r="229" spans="1:6" x14ac:dyDescent="0.35">
      <c r="A229" s="9" t="s">
        <v>930</v>
      </c>
      <c r="B229" s="9" t="s">
        <v>691</v>
      </c>
      <c r="C229" s="9" t="s">
        <v>733</v>
      </c>
      <c r="D229" s="10">
        <v>36</v>
      </c>
      <c r="E229" s="11" t="s">
        <v>693</v>
      </c>
      <c r="F229">
        <f t="shared" si="3"/>
        <v>265455</v>
      </c>
    </row>
    <row r="230" spans="1:6" x14ac:dyDescent="0.35">
      <c r="A230" s="9" t="s">
        <v>931</v>
      </c>
      <c r="B230" s="9" t="s">
        <v>691</v>
      </c>
      <c r="C230" s="9" t="s">
        <v>697</v>
      </c>
      <c r="D230" s="10">
        <v>19.5</v>
      </c>
      <c r="E230" s="11" t="s">
        <v>693</v>
      </c>
      <c r="F230">
        <f t="shared" si="3"/>
        <v>265522</v>
      </c>
    </row>
    <row r="231" spans="1:6" x14ac:dyDescent="0.35">
      <c r="A231" s="9" t="s">
        <v>932</v>
      </c>
      <c r="B231" s="9" t="s">
        <v>691</v>
      </c>
      <c r="C231" s="9" t="s">
        <v>740</v>
      </c>
      <c r="D231" s="10">
        <v>25</v>
      </c>
      <c r="E231" s="11" t="s">
        <v>693</v>
      </c>
      <c r="F231">
        <f t="shared" si="3"/>
        <v>265541</v>
      </c>
    </row>
    <row r="232" spans="1:6" x14ac:dyDescent="0.35">
      <c r="A232" s="9" t="s">
        <v>933</v>
      </c>
      <c r="B232" s="9" t="s">
        <v>691</v>
      </c>
      <c r="C232" s="9" t="s">
        <v>733</v>
      </c>
      <c r="D232" s="10">
        <v>50</v>
      </c>
      <c r="E232" s="11" t="s">
        <v>693</v>
      </c>
      <c r="F232">
        <f t="shared" si="3"/>
        <v>265564</v>
      </c>
    </row>
    <row r="233" spans="1:6" x14ac:dyDescent="0.35">
      <c r="A233" s="9" t="s">
        <v>934</v>
      </c>
      <c r="B233" s="9" t="s">
        <v>691</v>
      </c>
      <c r="C233" s="9" t="s">
        <v>733</v>
      </c>
      <c r="D233" s="10">
        <v>17.5</v>
      </c>
      <c r="E233" s="11" t="s">
        <v>693</v>
      </c>
      <c r="F233">
        <f t="shared" si="3"/>
        <v>265916</v>
      </c>
    </row>
    <row r="234" spans="1:6" x14ac:dyDescent="0.35">
      <c r="A234" s="9" t="s">
        <v>935</v>
      </c>
      <c r="B234" s="9" t="s">
        <v>720</v>
      </c>
      <c r="C234" s="9" t="s">
        <v>725</v>
      </c>
      <c r="D234" s="10">
        <v>39</v>
      </c>
      <c r="E234" s="11" t="s">
        <v>693</v>
      </c>
      <c r="F234">
        <f t="shared" si="3"/>
        <v>266145</v>
      </c>
    </row>
    <row r="235" spans="1:6" x14ac:dyDescent="0.35">
      <c r="A235" s="9" t="s">
        <v>936</v>
      </c>
      <c r="B235" s="9" t="s">
        <v>720</v>
      </c>
      <c r="C235" s="9" t="s">
        <v>725</v>
      </c>
      <c r="D235" s="10">
        <v>39</v>
      </c>
      <c r="E235" s="11" t="s">
        <v>693</v>
      </c>
      <c r="F235">
        <f t="shared" si="3"/>
        <v>266147</v>
      </c>
    </row>
    <row r="236" spans="1:6" x14ac:dyDescent="0.35">
      <c r="A236" s="9" t="s">
        <v>937</v>
      </c>
      <c r="B236" s="9" t="s">
        <v>720</v>
      </c>
      <c r="C236" s="9" t="s">
        <v>721</v>
      </c>
      <c r="D236" s="10">
        <v>18</v>
      </c>
      <c r="E236" s="11" t="s">
        <v>693</v>
      </c>
      <c r="F236">
        <f t="shared" si="3"/>
        <v>266148</v>
      </c>
    </row>
    <row r="237" spans="1:6" x14ac:dyDescent="0.35">
      <c r="A237" s="9" t="s">
        <v>938</v>
      </c>
      <c r="B237" s="9" t="s">
        <v>699</v>
      </c>
      <c r="C237" s="9" t="s">
        <v>709</v>
      </c>
      <c r="D237" s="10">
        <v>33</v>
      </c>
      <c r="E237" s="11" t="s">
        <v>693</v>
      </c>
      <c r="F237">
        <f t="shared" si="3"/>
        <v>266517</v>
      </c>
    </row>
    <row r="238" spans="1:6" x14ac:dyDescent="0.35">
      <c r="A238" s="9" t="s">
        <v>939</v>
      </c>
      <c r="B238" s="9" t="s">
        <v>691</v>
      </c>
      <c r="C238" s="9" t="s">
        <v>728</v>
      </c>
      <c r="D238" s="10">
        <v>27</v>
      </c>
      <c r="E238" s="11" t="s">
        <v>693</v>
      </c>
      <c r="F238">
        <f t="shared" si="3"/>
        <v>266553</v>
      </c>
    </row>
    <row r="239" spans="1:6" x14ac:dyDescent="0.35">
      <c r="A239" s="9" t="s">
        <v>940</v>
      </c>
      <c r="B239" s="9" t="s">
        <v>720</v>
      </c>
      <c r="C239" s="9" t="s">
        <v>725</v>
      </c>
      <c r="D239" s="10">
        <v>15</v>
      </c>
      <c r="E239" s="11" t="s">
        <v>693</v>
      </c>
      <c r="F239">
        <f t="shared" si="3"/>
        <v>266557</v>
      </c>
    </row>
    <row r="240" spans="1:6" x14ac:dyDescent="0.35">
      <c r="A240" s="9" t="s">
        <v>941</v>
      </c>
      <c r="B240" s="9" t="s">
        <v>720</v>
      </c>
      <c r="C240" s="9" t="s">
        <v>725</v>
      </c>
      <c r="D240" s="10">
        <v>78</v>
      </c>
      <c r="E240" s="11" t="s">
        <v>693</v>
      </c>
      <c r="F240">
        <f t="shared" si="3"/>
        <v>267352</v>
      </c>
    </row>
    <row r="241" spans="1:6" x14ac:dyDescent="0.35">
      <c r="A241" s="9" t="s">
        <v>942</v>
      </c>
      <c r="B241" s="9" t="s">
        <v>691</v>
      </c>
      <c r="C241" s="9" t="s">
        <v>733</v>
      </c>
      <c r="D241" s="10">
        <v>22</v>
      </c>
      <c r="E241" s="11" t="s">
        <v>693</v>
      </c>
      <c r="F241">
        <f t="shared" si="3"/>
        <v>267359</v>
      </c>
    </row>
    <row r="242" spans="1:6" x14ac:dyDescent="0.35">
      <c r="A242" s="9" t="s">
        <v>943</v>
      </c>
      <c r="B242" s="9" t="s">
        <v>691</v>
      </c>
      <c r="C242" s="9" t="s">
        <v>692</v>
      </c>
      <c r="D242" s="10">
        <v>18</v>
      </c>
      <c r="E242" s="11" t="s">
        <v>693</v>
      </c>
      <c r="F242">
        <f t="shared" si="3"/>
        <v>267555</v>
      </c>
    </row>
    <row r="243" spans="1:6" x14ac:dyDescent="0.35">
      <c r="A243" s="9" t="s">
        <v>944</v>
      </c>
      <c r="B243" s="9" t="s">
        <v>691</v>
      </c>
      <c r="C243" s="9" t="s">
        <v>733</v>
      </c>
      <c r="D243" s="10">
        <v>18</v>
      </c>
      <c r="E243" s="11" t="s">
        <v>693</v>
      </c>
      <c r="F243">
        <f t="shared" si="3"/>
        <v>268059</v>
      </c>
    </row>
    <row r="244" spans="1:6" x14ac:dyDescent="0.35">
      <c r="A244" s="9" t="s">
        <v>945</v>
      </c>
      <c r="B244" s="9" t="s">
        <v>720</v>
      </c>
      <c r="C244" s="9" t="s">
        <v>721</v>
      </c>
      <c r="D244" s="10">
        <v>39</v>
      </c>
      <c r="E244" s="11" t="s">
        <v>693</v>
      </c>
      <c r="F244">
        <f t="shared" si="3"/>
        <v>268457</v>
      </c>
    </row>
    <row r="245" spans="1:6" x14ac:dyDescent="0.35">
      <c r="A245" s="9" t="s">
        <v>946</v>
      </c>
      <c r="B245" s="9" t="s">
        <v>699</v>
      </c>
      <c r="C245" s="9" t="s">
        <v>702</v>
      </c>
      <c r="D245" s="10">
        <v>18</v>
      </c>
      <c r="E245" s="11" t="s">
        <v>693</v>
      </c>
      <c r="F245">
        <f t="shared" si="3"/>
        <v>268479</v>
      </c>
    </row>
    <row r="246" spans="1:6" x14ac:dyDescent="0.35">
      <c r="A246" s="9" t="s">
        <v>947</v>
      </c>
      <c r="B246" s="9" t="s">
        <v>699</v>
      </c>
      <c r="C246" s="9" t="s">
        <v>700</v>
      </c>
      <c r="D246" s="10">
        <v>31.5</v>
      </c>
      <c r="E246" s="11" t="s">
        <v>693</v>
      </c>
      <c r="F246">
        <f t="shared" si="3"/>
        <v>268525</v>
      </c>
    </row>
    <row r="247" spans="1:6" x14ac:dyDescent="0.35">
      <c r="A247" s="9" t="s">
        <v>948</v>
      </c>
      <c r="B247" s="9" t="s">
        <v>691</v>
      </c>
      <c r="C247" s="9" t="s">
        <v>728</v>
      </c>
      <c r="D247" s="10">
        <v>14.5</v>
      </c>
      <c r="E247" s="11" t="s">
        <v>693</v>
      </c>
      <c r="F247">
        <f t="shared" si="3"/>
        <v>268527</v>
      </c>
    </row>
    <row r="248" spans="1:6" x14ac:dyDescent="0.35">
      <c r="A248" s="9" t="s">
        <v>949</v>
      </c>
      <c r="B248" s="9" t="s">
        <v>691</v>
      </c>
      <c r="C248" s="9" t="s">
        <v>733</v>
      </c>
      <c r="D248" s="10">
        <v>27</v>
      </c>
      <c r="E248" s="11" t="s">
        <v>693</v>
      </c>
      <c r="F248">
        <f t="shared" si="3"/>
        <v>268560</v>
      </c>
    </row>
    <row r="249" spans="1:6" x14ac:dyDescent="0.35">
      <c r="A249" s="9" t="s">
        <v>950</v>
      </c>
      <c r="B249" s="9" t="s">
        <v>699</v>
      </c>
      <c r="C249" s="9" t="s">
        <v>700</v>
      </c>
      <c r="D249" s="10">
        <v>27</v>
      </c>
      <c r="E249" s="11" t="s">
        <v>693</v>
      </c>
      <c r="F249">
        <f t="shared" si="3"/>
        <v>268569</v>
      </c>
    </row>
    <row r="250" spans="1:6" x14ac:dyDescent="0.35">
      <c r="A250" s="9" t="s">
        <v>951</v>
      </c>
      <c r="B250" s="9" t="s">
        <v>699</v>
      </c>
      <c r="C250" s="9" t="s">
        <v>700</v>
      </c>
      <c r="D250" s="10">
        <v>17.5</v>
      </c>
      <c r="E250" s="11" t="s">
        <v>693</v>
      </c>
      <c r="F250">
        <f t="shared" si="3"/>
        <v>268571</v>
      </c>
    </row>
    <row r="251" spans="1:6" x14ac:dyDescent="0.35">
      <c r="A251" s="9" t="s">
        <v>952</v>
      </c>
      <c r="B251" s="9" t="s">
        <v>691</v>
      </c>
      <c r="C251" s="9" t="s">
        <v>692</v>
      </c>
      <c r="D251" s="10">
        <v>27</v>
      </c>
      <c r="E251" s="11" t="s">
        <v>693</v>
      </c>
      <c r="F251">
        <f t="shared" si="3"/>
        <v>268574</v>
      </c>
    </row>
    <row r="252" spans="1:6" x14ac:dyDescent="0.35">
      <c r="A252" s="9" t="s">
        <v>953</v>
      </c>
      <c r="B252" s="9" t="s">
        <v>720</v>
      </c>
      <c r="C252" s="9" t="s">
        <v>725</v>
      </c>
      <c r="D252" s="10">
        <v>30</v>
      </c>
      <c r="E252" s="11" t="s">
        <v>693</v>
      </c>
      <c r="F252">
        <f t="shared" si="3"/>
        <v>268955</v>
      </c>
    </row>
    <row r="253" spans="1:6" x14ac:dyDescent="0.35">
      <c r="A253" s="9" t="s">
        <v>954</v>
      </c>
      <c r="B253" s="9" t="s">
        <v>691</v>
      </c>
      <c r="C253" s="9" t="s">
        <v>695</v>
      </c>
      <c r="D253" s="10">
        <v>154</v>
      </c>
      <c r="E253" s="11" t="s">
        <v>693</v>
      </c>
      <c r="F253">
        <f t="shared" si="3"/>
        <v>269348</v>
      </c>
    </row>
    <row r="254" spans="1:6" x14ac:dyDescent="0.35">
      <c r="A254" s="9" t="s">
        <v>955</v>
      </c>
      <c r="B254" s="9" t="s">
        <v>691</v>
      </c>
      <c r="C254" s="9" t="s">
        <v>692</v>
      </c>
      <c r="D254" s="10">
        <v>35</v>
      </c>
      <c r="E254" s="11" t="s">
        <v>693</v>
      </c>
      <c r="F254">
        <f t="shared" si="3"/>
        <v>269385</v>
      </c>
    </row>
    <row r="255" spans="1:6" x14ac:dyDescent="0.35">
      <c r="A255" s="9" t="s">
        <v>956</v>
      </c>
      <c r="B255" s="9" t="s">
        <v>699</v>
      </c>
      <c r="C255" s="9" t="s">
        <v>700</v>
      </c>
      <c r="D255" s="10">
        <v>42.5</v>
      </c>
      <c r="E255" s="11" t="s">
        <v>693</v>
      </c>
      <c r="F255">
        <f t="shared" si="3"/>
        <v>269389</v>
      </c>
    </row>
    <row r="256" spans="1:6" x14ac:dyDescent="0.35">
      <c r="A256" s="9" t="s">
        <v>957</v>
      </c>
      <c r="B256" s="9" t="s">
        <v>720</v>
      </c>
      <c r="C256" s="9" t="s">
        <v>725</v>
      </c>
      <c r="D256" s="10">
        <v>6</v>
      </c>
      <c r="E256" s="11" t="s">
        <v>693</v>
      </c>
      <c r="F256">
        <f t="shared" si="3"/>
        <v>269488</v>
      </c>
    </row>
    <row r="257" spans="1:6" x14ac:dyDescent="0.35">
      <c r="A257" s="9" t="s">
        <v>958</v>
      </c>
      <c r="B257" s="9" t="s">
        <v>691</v>
      </c>
      <c r="C257" s="9" t="s">
        <v>740</v>
      </c>
      <c r="D257" s="10">
        <v>24</v>
      </c>
      <c r="E257" s="11" t="s">
        <v>693</v>
      </c>
      <c r="F257">
        <f t="shared" si="3"/>
        <v>269890</v>
      </c>
    </row>
    <row r="258" spans="1:6" x14ac:dyDescent="0.35">
      <c r="A258" s="9" t="s">
        <v>959</v>
      </c>
      <c r="B258" s="9" t="s">
        <v>699</v>
      </c>
      <c r="C258" s="9" t="s">
        <v>702</v>
      </c>
      <c r="D258" s="10">
        <v>26</v>
      </c>
      <c r="E258" s="11" t="s">
        <v>693</v>
      </c>
      <c r="F258">
        <f t="shared" si="3"/>
        <v>269896</v>
      </c>
    </row>
    <row r="259" spans="1:6" x14ac:dyDescent="0.35">
      <c r="A259" s="9" t="s">
        <v>960</v>
      </c>
      <c r="B259" s="9" t="s">
        <v>691</v>
      </c>
      <c r="C259" s="9" t="s">
        <v>740</v>
      </c>
      <c r="D259" s="10">
        <v>60</v>
      </c>
      <c r="E259" s="11" t="s">
        <v>693</v>
      </c>
      <c r="F259">
        <f t="shared" ref="F259:F322" si="4">VALUE(LEFT(A259,FIND(" ",A259)-1))</f>
        <v>271058</v>
      </c>
    </row>
    <row r="260" spans="1:6" x14ac:dyDescent="0.35">
      <c r="A260" s="9" t="s">
        <v>961</v>
      </c>
      <c r="B260" s="9" t="s">
        <v>691</v>
      </c>
      <c r="C260" s="9" t="s">
        <v>740</v>
      </c>
      <c r="D260" s="10">
        <v>54</v>
      </c>
      <c r="E260" s="11" t="s">
        <v>693</v>
      </c>
      <c r="F260">
        <f t="shared" si="4"/>
        <v>271059</v>
      </c>
    </row>
    <row r="261" spans="1:6" x14ac:dyDescent="0.35">
      <c r="A261" s="9" t="s">
        <v>962</v>
      </c>
      <c r="B261" s="9" t="s">
        <v>720</v>
      </c>
      <c r="C261" s="9" t="s">
        <v>725</v>
      </c>
      <c r="D261" s="10">
        <v>60.5</v>
      </c>
      <c r="E261" s="11" t="s">
        <v>693</v>
      </c>
      <c r="F261">
        <f t="shared" si="4"/>
        <v>271657</v>
      </c>
    </row>
    <row r="262" spans="1:6" x14ac:dyDescent="0.35">
      <c r="A262" s="9" t="s">
        <v>963</v>
      </c>
      <c r="B262" s="9" t="s">
        <v>699</v>
      </c>
      <c r="C262" s="9" t="s">
        <v>700</v>
      </c>
      <c r="D262" s="10">
        <v>54</v>
      </c>
      <c r="E262" s="11" t="s">
        <v>693</v>
      </c>
      <c r="F262">
        <f t="shared" si="4"/>
        <v>271759</v>
      </c>
    </row>
    <row r="263" spans="1:6" x14ac:dyDescent="0.35">
      <c r="A263" s="9" t="s">
        <v>964</v>
      </c>
      <c r="B263" s="9" t="s">
        <v>691</v>
      </c>
      <c r="C263" s="9" t="s">
        <v>740</v>
      </c>
      <c r="D263" s="10">
        <v>40</v>
      </c>
      <c r="E263" s="11" t="s">
        <v>693</v>
      </c>
      <c r="F263">
        <f t="shared" si="4"/>
        <v>271784</v>
      </c>
    </row>
    <row r="264" spans="1:6" x14ac:dyDescent="0.35">
      <c r="A264" s="9" t="s">
        <v>965</v>
      </c>
      <c r="B264" s="9" t="s">
        <v>720</v>
      </c>
      <c r="C264" s="9" t="s">
        <v>725</v>
      </c>
      <c r="D264" s="10">
        <v>75</v>
      </c>
      <c r="E264" s="11" t="s">
        <v>693</v>
      </c>
      <c r="F264">
        <f t="shared" si="4"/>
        <v>271800</v>
      </c>
    </row>
    <row r="265" spans="1:6" x14ac:dyDescent="0.35">
      <c r="A265" s="9" t="s">
        <v>966</v>
      </c>
      <c r="B265" s="9" t="s">
        <v>720</v>
      </c>
      <c r="C265" s="9" t="s">
        <v>721</v>
      </c>
      <c r="D265" s="10">
        <v>36</v>
      </c>
      <c r="E265" s="11" t="s">
        <v>693</v>
      </c>
      <c r="F265">
        <f t="shared" si="4"/>
        <v>272281</v>
      </c>
    </row>
    <row r="266" spans="1:6" x14ac:dyDescent="0.35">
      <c r="A266" s="9" t="s">
        <v>967</v>
      </c>
      <c r="B266" s="9" t="s">
        <v>691</v>
      </c>
      <c r="C266" s="9" t="s">
        <v>728</v>
      </c>
      <c r="D266" s="10">
        <v>30</v>
      </c>
      <c r="E266" s="11" t="s">
        <v>693</v>
      </c>
      <c r="F266">
        <f t="shared" si="4"/>
        <v>272296</v>
      </c>
    </row>
    <row r="267" spans="1:6" x14ac:dyDescent="0.35">
      <c r="A267" s="9" t="s">
        <v>968</v>
      </c>
      <c r="B267" s="9" t="s">
        <v>691</v>
      </c>
      <c r="C267" s="9" t="s">
        <v>692</v>
      </c>
      <c r="D267" s="10">
        <v>33</v>
      </c>
      <c r="E267" s="11" t="s">
        <v>693</v>
      </c>
      <c r="F267">
        <f t="shared" si="4"/>
        <v>272298</v>
      </c>
    </row>
    <row r="268" spans="1:6" x14ac:dyDescent="0.35">
      <c r="A268" s="9" t="s">
        <v>969</v>
      </c>
      <c r="B268" s="9" t="s">
        <v>691</v>
      </c>
      <c r="C268" s="9" t="s">
        <v>692</v>
      </c>
      <c r="D268" s="10">
        <v>20</v>
      </c>
      <c r="E268" s="11" t="s">
        <v>693</v>
      </c>
      <c r="F268">
        <f t="shared" si="4"/>
        <v>272312</v>
      </c>
    </row>
    <row r="269" spans="1:6" x14ac:dyDescent="0.35">
      <c r="A269" s="9" t="s">
        <v>970</v>
      </c>
      <c r="B269" s="9" t="s">
        <v>691</v>
      </c>
      <c r="C269" s="9" t="s">
        <v>733</v>
      </c>
      <c r="D269" s="10">
        <v>15</v>
      </c>
      <c r="E269" s="11" t="s">
        <v>693</v>
      </c>
      <c r="F269">
        <f t="shared" si="4"/>
        <v>272317</v>
      </c>
    </row>
    <row r="270" spans="1:6" x14ac:dyDescent="0.35">
      <c r="A270" s="9" t="s">
        <v>971</v>
      </c>
      <c r="B270" s="9" t="s">
        <v>720</v>
      </c>
      <c r="C270" s="9" t="s">
        <v>721</v>
      </c>
      <c r="D270" s="10">
        <v>35</v>
      </c>
      <c r="E270" s="11" t="s">
        <v>693</v>
      </c>
      <c r="F270">
        <f t="shared" si="4"/>
        <v>272759</v>
      </c>
    </row>
    <row r="271" spans="1:6" x14ac:dyDescent="0.35">
      <c r="A271" s="9" t="s">
        <v>972</v>
      </c>
      <c r="B271" s="9" t="s">
        <v>720</v>
      </c>
      <c r="C271" s="9" t="s">
        <v>721</v>
      </c>
      <c r="D271" s="10">
        <v>12</v>
      </c>
      <c r="E271" s="11" t="s">
        <v>693</v>
      </c>
      <c r="F271">
        <f t="shared" si="4"/>
        <v>272815</v>
      </c>
    </row>
    <row r="272" spans="1:6" x14ac:dyDescent="0.35">
      <c r="A272" s="9" t="s">
        <v>973</v>
      </c>
      <c r="B272" s="9" t="s">
        <v>691</v>
      </c>
      <c r="C272" s="9" t="s">
        <v>697</v>
      </c>
      <c r="D272" s="10">
        <v>28</v>
      </c>
      <c r="E272" s="11" t="s">
        <v>693</v>
      </c>
      <c r="F272">
        <f t="shared" si="4"/>
        <v>272823</v>
      </c>
    </row>
    <row r="273" spans="1:6" x14ac:dyDescent="0.35">
      <c r="A273" s="9" t="s">
        <v>974</v>
      </c>
      <c r="B273" s="9" t="s">
        <v>691</v>
      </c>
      <c r="C273" s="9" t="s">
        <v>692</v>
      </c>
      <c r="D273" s="10">
        <v>24</v>
      </c>
      <c r="E273" s="11" t="s">
        <v>693</v>
      </c>
      <c r="F273">
        <f t="shared" si="4"/>
        <v>272876</v>
      </c>
    </row>
    <row r="274" spans="1:6" x14ac:dyDescent="0.35">
      <c r="A274" s="9" t="s">
        <v>975</v>
      </c>
      <c r="B274" s="9" t="s">
        <v>691</v>
      </c>
      <c r="C274" s="9" t="s">
        <v>740</v>
      </c>
      <c r="D274" s="10">
        <v>33</v>
      </c>
      <c r="E274" s="11" t="s">
        <v>693</v>
      </c>
      <c r="F274">
        <f t="shared" si="4"/>
        <v>272878</v>
      </c>
    </row>
    <row r="275" spans="1:6" x14ac:dyDescent="0.35">
      <c r="A275" s="9" t="s">
        <v>976</v>
      </c>
      <c r="B275" s="9" t="s">
        <v>691</v>
      </c>
      <c r="C275" s="9" t="s">
        <v>695</v>
      </c>
      <c r="D275" s="10">
        <v>30</v>
      </c>
      <c r="E275" s="11" t="s">
        <v>693</v>
      </c>
      <c r="F275">
        <f t="shared" si="4"/>
        <v>273082</v>
      </c>
    </row>
    <row r="276" spans="1:6" x14ac:dyDescent="0.35">
      <c r="A276" s="9" t="s">
        <v>977</v>
      </c>
      <c r="B276" s="9" t="s">
        <v>691</v>
      </c>
      <c r="C276" s="9" t="s">
        <v>740</v>
      </c>
      <c r="D276" s="10">
        <v>6.5</v>
      </c>
      <c r="E276" s="11" t="s">
        <v>693</v>
      </c>
      <c r="F276">
        <f t="shared" si="4"/>
        <v>273370</v>
      </c>
    </row>
    <row r="277" spans="1:6" x14ac:dyDescent="0.35">
      <c r="A277" s="9" t="s">
        <v>978</v>
      </c>
      <c r="B277" s="9" t="s">
        <v>691</v>
      </c>
      <c r="C277" s="9" t="s">
        <v>697</v>
      </c>
      <c r="D277" s="10">
        <v>39</v>
      </c>
      <c r="E277" s="11" t="s">
        <v>693</v>
      </c>
      <c r="F277">
        <f t="shared" si="4"/>
        <v>273418</v>
      </c>
    </row>
    <row r="278" spans="1:6" x14ac:dyDescent="0.35">
      <c r="A278" s="9" t="s">
        <v>979</v>
      </c>
      <c r="B278" s="9" t="s">
        <v>691</v>
      </c>
      <c r="C278" s="9" t="s">
        <v>695</v>
      </c>
      <c r="D278" s="10">
        <v>156</v>
      </c>
      <c r="E278" s="11" t="s">
        <v>693</v>
      </c>
      <c r="F278">
        <f t="shared" si="4"/>
        <v>273554</v>
      </c>
    </row>
    <row r="279" spans="1:6" x14ac:dyDescent="0.35">
      <c r="A279" s="9" t="s">
        <v>980</v>
      </c>
      <c r="B279" s="9" t="s">
        <v>691</v>
      </c>
      <c r="C279" s="9" t="s">
        <v>692</v>
      </c>
      <c r="D279" s="10">
        <v>54</v>
      </c>
      <c r="E279" s="11" t="s">
        <v>693</v>
      </c>
      <c r="F279">
        <f t="shared" si="4"/>
        <v>273826</v>
      </c>
    </row>
    <row r="280" spans="1:6" x14ac:dyDescent="0.35">
      <c r="A280" s="9" t="s">
        <v>981</v>
      </c>
      <c r="B280" s="9" t="s">
        <v>699</v>
      </c>
      <c r="C280" s="9" t="s">
        <v>709</v>
      </c>
      <c r="D280" s="10">
        <v>66</v>
      </c>
      <c r="E280" s="11" t="s">
        <v>693</v>
      </c>
      <c r="F280">
        <f t="shared" si="4"/>
        <v>273926</v>
      </c>
    </row>
    <row r="281" spans="1:6" x14ac:dyDescent="0.35">
      <c r="A281" s="9" t="s">
        <v>982</v>
      </c>
      <c r="B281" s="9" t="s">
        <v>691</v>
      </c>
      <c r="C281" s="9" t="s">
        <v>697</v>
      </c>
      <c r="D281" s="10">
        <v>24</v>
      </c>
      <c r="E281" s="11" t="s">
        <v>693</v>
      </c>
      <c r="F281">
        <f t="shared" si="4"/>
        <v>274012</v>
      </c>
    </row>
    <row r="282" spans="1:6" x14ac:dyDescent="0.35">
      <c r="A282" s="9" t="s">
        <v>983</v>
      </c>
      <c r="B282" s="9" t="s">
        <v>699</v>
      </c>
      <c r="C282" s="9" t="s">
        <v>709</v>
      </c>
      <c r="D282" s="10">
        <v>35</v>
      </c>
      <c r="E282" s="11" t="s">
        <v>693</v>
      </c>
      <c r="F282">
        <f t="shared" si="4"/>
        <v>274584</v>
      </c>
    </row>
    <row r="283" spans="1:6" x14ac:dyDescent="0.35">
      <c r="A283" s="9" t="s">
        <v>984</v>
      </c>
      <c r="B283" s="9" t="s">
        <v>699</v>
      </c>
      <c r="C283" s="9" t="s">
        <v>702</v>
      </c>
      <c r="D283" s="10">
        <v>12</v>
      </c>
      <c r="E283" s="11" t="s">
        <v>693</v>
      </c>
      <c r="F283">
        <f t="shared" si="4"/>
        <v>274636</v>
      </c>
    </row>
    <row r="284" spans="1:6" x14ac:dyDescent="0.35">
      <c r="A284" s="9" t="s">
        <v>985</v>
      </c>
      <c r="B284" s="9" t="s">
        <v>699</v>
      </c>
      <c r="C284" s="9" t="s">
        <v>702</v>
      </c>
      <c r="D284" s="10">
        <v>31.5</v>
      </c>
      <c r="E284" s="11" t="s">
        <v>693</v>
      </c>
      <c r="F284">
        <f t="shared" si="4"/>
        <v>274637</v>
      </c>
    </row>
    <row r="285" spans="1:6" x14ac:dyDescent="0.35">
      <c r="A285" s="9" t="s">
        <v>986</v>
      </c>
      <c r="B285" s="9" t="s">
        <v>691</v>
      </c>
      <c r="C285" s="9" t="s">
        <v>740</v>
      </c>
      <c r="D285" s="10">
        <v>39</v>
      </c>
      <c r="E285" s="11" t="s">
        <v>693</v>
      </c>
      <c r="F285">
        <f t="shared" si="4"/>
        <v>275174</v>
      </c>
    </row>
    <row r="286" spans="1:6" x14ac:dyDescent="0.35">
      <c r="A286" s="9" t="s">
        <v>987</v>
      </c>
      <c r="B286" s="9" t="s">
        <v>691</v>
      </c>
      <c r="C286" s="9" t="s">
        <v>740</v>
      </c>
      <c r="D286" s="10">
        <v>58.5</v>
      </c>
      <c r="E286" s="11" t="s">
        <v>693</v>
      </c>
      <c r="F286">
        <f t="shared" si="4"/>
        <v>275379</v>
      </c>
    </row>
    <row r="287" spans="1:6" x14ac:dyDescent="0.35">
      <c r="A287" s="9" t="s">
        <v>989</v>
      </c>
      <c r="B287" s="9" t="s">
        <v>691</v>
      </c>
      <c r="C287" s="9" t="s">
        <v>740</v>
      </c>
      <c r="D287" s="10">
        <v>57</v>
      </c>
      <c r="E287" s="11" t="s">
        <v>693</v>
      </c>
      <c r="F287">
        <f t="shared" si="4"/>
        <v>275849</v>
      </c>
    </row>
    <row r="288" spans="1:6" x14ac:dyDescent="0.35">
      <c r="A288" s="9" t="s">
        <v>990</v>
      </c>
      <c r="B288" s="9" t="s">
        <v>720</v>
      </c>
      <c r="C288" s="9" t="s">
        <v>721</v>
      </c>
      <c r="D288" s="10">
        <v>54</v>
      </c>
      <c r="E288" s="11" t="s">
        <v>693</v>
      </c>
      <c r="F288">
        <f t="shared" si="4"/>
        <v>276583</v>
      </c>
    </row>
    <row r="289" spans="1:6" x14ac:dyDescent="0.35">
      <c r="A289" s="9" t="s">
        <v>991</v>
      </c>
      <c r="B289" s="9" t="s">
        <v>691</v>
      </c>
      <c r="C289" s="9" t="s">
        <v>728</v>
      </c>
      <c r="D289" s="10">
        <v>43</v>
      </c>
      <c r="E289" s="11" t="s">
        <v>693</v>
      </c>
      <c r="F289">
        <f t="shared" si="4"/>
        <v>276635</v>
      </c>
    </row>
    <row r="290" spans="1:6" x14ac:dyDescent="0.35">
      <c r="A290" s="9" t="s">
        <v>992</v>
      </c>
      <c r="B290" s="9" t="s">
        <v>720</v>
      </c>
      <c r="C290" s="9" t="s">
        <v>721</v>
      </c>
      <c r="D290" s="10">
        <v>42</v>
      </c>
      <c r="E290" s="11" t="s">
        <v>693</v>
      </c>
      <c r="F290">
        <f t="shared" si="4"/>
        <v>276665</v>
      </c>
    </row>
    <row r="291" spans="1:6" x14ac:dyDescent="0.35">
      <c r="A291" s="9" t="s">
        <v>993</v>
      </c>
      <c r="B291" s="9" t="s">
        <v>699</v>
      </c>
      <c r="C291" s="9" t="s">
        <v>702</v>
      </c>
      <c r="D291" s="10">
        <v>18</v>
      </c>
      <c r="E291" s="11" t="s">
        <v>693</v>
      </c>
      <c r="F291">
        <f t="shared" si="4"/>
        <v>276696</v>
      </c>
    </row>
    <row r="292" spans="1:6" x14ac:dyDescent="0.35">
      <c r="A292" s="9" t="s">
        <v>994</v>
      </c>
      <c r="B292" s="9" t="s">
        <v>691</v>
      </c>
      <c r="C292" s="9" t="s">
        <v>733</v>
      </c>
      <c r="D292" s="10">
        <v>48</v>
      </c>
      <c r="E292" s="11" t="s">
        <v>693</v>
      </c>
      <c r="F292">
        <f t="shared" si="4"/>
        <v>276717</v>
      </c>
    </row>
    <row r="293" spans="1:6" x14ac:dyDescent="0.35">
      <c r="A293" s="9" t="s">
        <v>995</v>
      </c>
      <c r="B293" s="9" t="s">
        <v>691</v>
      </c>
      <c r="C293" s="9" t="s">
        <v>692</v>
      </c>
      <c r="D293" s="10">
        <v>27</v>
      </c>
      <c r="E293" s="11" t="s">
        <v>693</v>
      </c>
      <c r="F293">
        <f t="shared" si="4"/>
        <v>277396</v>
      </c>
    </row>
    <row r="294" spans="1:6" x14ac:dyDescent="0.35">
      <c r="A294" s="9" t="s">
        <v>996</v>
      </c>
      <c r="B294" s="9" t="s">
        <v>691</v>
      </c>
      <c r="C294" s="9" t="s">
        <v>692</v>
      </c>
      <c r="D294" s="10">
        <v>50</v>
      </c>
      <c r="E294" s="11" t="s">
        <v>693</v>
      </c>
      <c r="F294">
        <f t="shared" si="4"/>
        <v>277399</v>
      </c>
    </row>
    <row r="295" spans="1:6" x14ac:dyDescent="0.35">
      <c r="A295" s="9" t="s">
        <v>997</v>
      </c>
      <c r="B295" s="9" t="s">
        <v>691</v>
      </c>
      <c r="C295" s="9" t="s">
        <v>728</v>
      </c>
      <c r="D295" s="10">
        <v>48</v>
      </c>
      <c r="E295" s="11" t="s">
        <v>693</v>
      </c>
      <c r="F295">
        <f t="shared" si="4"/>
        <v>277554</v>
      </c>
    </row>
    <row r="296" spans="1:6" x14ac:dyDescent="0.35">
      <c r="A296" s="9" t="s">
        <v>998</v>
      </c>
      <c r="B296" s="9" t="s">
        <v>691</v>
      </c>
      <c r="C296" s="9" t="s">
        <v>697</v>
      </c>
      <c r="D296" s="10">
        <v>95.5</v>
      </c>
      <c r="E296" s="11" t="s">
        <v>693</v>
      </c>
      <c r="F296">
        <f t="shared" si="4"/>
        <v>277559</v>
      </c>
    </row>
    <row r="297" spans="1:6" x14ac:dyDescent="0.35">
      <c r="A297" s="9" t="s">
        <v>999</v>
      </c>
      <c r="B297" s="9" t="s">
        <v>691</v>
      </c>
      <c r="C297" s="9" t="s">
        <v>697</v>
      </c>
      <c r="D297" s="10">
        <v>18</v>
      </c>
      <c r="E297" s="11" t="s">
        <v>693</v>
      </c>
      <c r="F297">
        <f t="shared" si="4"/>
        <v>277563</v>
      </c>
    </row>
    <row r="298" spans="1:6" x14ac:dyDescent="0.35">
      <c r="A298" s="9" t="s">
        <v>1000</v>
      </c>
      <c r="B298" s="9" t="s">
        <v>720</v>
      </c>
      <c r="C298" s="9" t="s">
        <v>725</v>
      </c>
      <c r="D298" s="10">
        <v>57</v>
      </c>
      <c r="E298" s="11" t="s">
        <v>693</v>
      </c>
      <c r="F298">
        <f t="shared" si="4"/>
        <v>277568</v>
      </c>
    </row>
    <row r="299" spans="1:6" x14ac:dyDescent="0.35">
      <c r="A299" s="9" t="s">
        <v>1001</v>
      </c>
      <c r="B299" s="9" t="s">
        <v>720</v>
      </c>
      <c r="C299" s="9" t="s">
        <v>721</v>
      </c>
      <c r="D299" s="10">
        <v>121</v>
      </c>
      <c r="E299" s="11" t="s">
        <v>693</v>
      </c>
      <c r="F299">
        <f t="shared" si="4"/>
        <v>278146</v>
      </c>
    </row>
    <row r="300" spans="1:6" x14ac:dyDescent="0.35">
      <c r="A300" s="9" t="s">
        <v>1002</v>
      </c>
      <c r="B300" s="9" t="s">
        <v>720</v>
      </c>
      <c r="C300" s="9" t="s">
        <v>725</v>
      </c>
      <c r="D300" s="10">
        <v>15</v>
      </c>
      <c r="E300" s="11" t="s">
        <v>693</v>
      </c>
      <c r="F300">
        <f t="shared" si="4"/>
        <v>278147</v>
      </c>
    </row>
    <row r="301" spans="1:6" x14ac:dyDescent="0.35">
      <c r="A301" s="9" t="s">
        <v>1003</v>
      </c>
      <c r="B301" s="9" t="s">
        <v>691</v>
      </c>
      <c r="C301" s="9" t="s">
        <v>692</v>
      </c>
      <c r="D301" s="10">
        <v>9</v>
      </c>
      <c r="E301" s="11" t="s">
        <v>693</v>
      </c>
      <c r="F301">
        <f t="shared" si="4"/>
        <v>278694</v>
      </c>
    </row>
    <row r="302" spans="1:6" x14ac:dyDescent="0.35">
      <c r="A302" s="9" t="s">
        <v>1004</v>
      </c>
      <c r="B302" s="9" t="s">
        <v>699</v>
      </c>
      <c r="C302" s="9" t="s">
        <v>709</v>
      </c>
      <c r="D302" s="10">
        <v>14</v>
      </c>
      <c r="E302" s="11" t="s">
        <v>693</v>
      </c>
      <c r="F302">
        <f t="shared" si="4"/>
        <v>278696</v>
      </c>
    </row>
    <row r="303" spans="1:6" x14ac:dyDescent="0.35">
      <c r="A303" s="9" t="s">
        <v>1005</v>
      </c>
      <c r="B303" s="9" t="s">
        <v>691</v>
      </c>
      <c r="C303" s="9" t="s">
        <v>692</v>
      </c>
      <c r="D303" s="10">
        <v>36</v>
      </c>
      <c r="E303" s="11" t="s">
        <v>693</v>
      </c>
      <c r="F303">
        <f t="shared" si="4"/>
        <v>279185</v>
      </c>
    </row>
    <row r="304" spans="1:6" x14ac:dyDescent="0.35">
      <c r="A304" s="9" t="s">
        <v>1006</v>
      </c>
      <c r="B304" s="9" t="s">
        <v>699</v>
      </c>
      <c r="C304" s="9" t="s">
        <v>709</v>
      </c>
      <c r="D304" s="10">
        <v>21</v>
      </c>
      <c r="E304" s="11" t="s">
        <v>693</v>
      </c>
      <c r="F304">
        <f t="shared" si="4"/>
        <v>279738</v>
      </c>
    </row>
    <row r="305" spans="1:6" x14ac:dyDescent="0.35">
      <c r="A305" s="9" t="s">
        <v>1007</v>
      </c>
      <c r="B305" s="9" t="s">
        <v>691</v>
      </c>
      <c r="C305" s="9" t="s">
        <v>728</v>
      </c>
      <c r="D305" s="10">
        <v>31</v>
      </c>
      <c r="E305" s="11" t="s">
        <v>693</v>
      </c>
      <c r="F305">
        <f t="shared" si="4"/>
        <v>280151</v>
      </c>
    </row>
    <row r="306" spans="1:6" x14ac:dyDescent="0.35">
      <c r="A306" s="9" t="s">
        <v>1008</v>
      </c>
      <c r="B306" s="9" t="s">
        <v>691</v>
      </c>
      <c r="C306" s="9" t="s">
        <v>728</v>
      </c>
      <c r="D306" s="10">
        <v>3</v>
      </c>
      <c r="E306" s="11" t="s">
        <v>693</v>
      </c>
      <c r="F306">
        <f t="shared" si="4"/>
        <v>280302</v>
      </c>
    </row>
    <row r="307" spans="1:6" x14ac:dyDescent="0.35">
      <c r="A307" s="9" t="s">
        <v>1009</v>
      </c>
      <c r="B307" s="9" t="s">
        <v>691</v>
      </c>
      <c r="C307" s="9" t="s">
        <v>692</v>
      </c>
      <c r="D307" s="10">
        <v>33</v>
      </c>
      <c r="E307" s="11" t="s">
        <v>693</v>
      </c>
      <c r="F307">
        <f t="shared" si="4"/>
        <v>280303</v>
      </c>
    </row>
    <row r="308" spans="1:6" x14ac:dyDescent="0.35">
      <c r="A308" s="9" t="s">
        <v>1010</v>
      </c>
      <c r="B308" s="9" t="s">
        <v>720</v>
      </c>
      <c r="C308" s="9" t="s">
        <v>725</v>
      </c>
      <c r="D308" s="10">
        <v>32</v>
      </c>
      <c r="E308" s="11" t="s">
        <v>693</v>
      </c>
      <c r="F308">
        <f t="shared" si="4"/>
        <v>280306</v>
      </c>
    </row>
    <row r="309" spans="1:6" x14ac:dyDescent="0.35">
      <c r="A309" s="9" t="s">
        <v>1011</v>
      </c>
      <c r="B309" s="9" t="s">
        <v>699</v>
      </c>
      <c r="C309" s="9" t="s">
        <v>709</v>
      </c>
      <c r="D309" s="10">
        <v>9</v>
      </c>
      <c r="E309" s="11" t="s">
        <v>693</v>
      </c>
      <c r="F309">
        <f t="shared" si="4"/>
        <v>280994</v>
      </c>
    </row>
    <row r="310" spans="1:6" x14ac:dyDescent="0.35">
      <c r="A310" s="9" t="s">
        <v>1012</v>
      </c>
      <c r="B310" s="9" t="s">
        <v>720</v>
      </c>
      <c r="C310" s="9" t="s">
        <v>725</v>
      </c>
      <c r="D310" s="10">
        <v>63</v>
      </c>
      <c r="E310" s="11" t="s">
        <v>693</v>
      </c>
      <c r="F310">
        <f t="shared" si="4"/>
        <v>281539</v>
      </c>
    </row>
    <row r="311" spans="1:6" x14ac:dyDescent="0.35">
      <c r="A311" s="9" t="s">
        <v>1013</v>
      </c>
      <c r="B311" s="9" t="s">
        <v>720</v>
      </c>
      <c r="C311" s="9" t="s">
        <v>721</v>
      </c>
      <c r="D311" s="10">
        <v>90</v>
      </c>
      <c r="E311" s="11" t="s">
        <v>693</v>
      </c>
      <c r="F311">
        <f t="shared" si="4"/>
        <v>282170</v>
      </c>
    </row>
    <row r="312" spans="1:6" x14ac:dyDescent="0.35">
      <c r="A312" s="9" t="s">
        <v>1014</v>
      </c>
      <c r="B312" s="9" t="s">
        <v>691</v>
      </c>
      <c r="C312" s="9" t="s">
        <v>692</v>
      </c>
      <c r="D312" s="10">
        <v>23</v>
      </c>
      <c r="E312" s="11" t="s">
        <v>693</v>
      </c>
      <c r="F312">
        <f t="shared" si="4"/>
        <v>282740</v>
      </c>
    </row>
    <row r="313" spans="1:6" x14ac:dyDescent="0.35">
      <c r="A313" s="9" t="s">
        <v>1015</v>
      </c>
      <c r="B313" s="9" t="s">
        <v>691</v>
      </c>
      <c r="C313" s="9" t="s">
        <v>692</v>
      </c>
      <c r="D313" s="10">
        <v>45</v>
      </c>
      <c r="E313" s="11" t="s">
        <v>693</v>
      </c>
      <c r="F313">
        <f t="shared" si="4"/>
        <v>282747</v>
      </c>
    </row>
    <row r="314" spans="1:6" x14ac:dyDescent="0.35">
      <c r="A314" s="9" t="s">
        <v>1016</v>
      </c>
      <c r="B314" s="9" t="s">
        <v>720</v>
      </c>
      <c r="C314" s="9" t="s">
        <v>725</v>
      </c>
      <c r="D314" s="10">
        <v>14.5</v>
      </c>
      <c r="E314" s="11" t="s">
        <v>693</v>
      </c>
      <c r="F314">
        <f t="shared" si="4"/>
        <v>282762</v>
      </c>
    </row>
    <row r="315" spans="1:6" x14ac:dyDescent="0.35">
      <c r="A315" s="9" t="s">
        <v>1017</v>
      </c>
      <c r="B315" s="9" t="s">
        <v>691</v>
      </c>
      <c r="C315" s="9" t="s">
        <v>733</v>
      </c>
      <c r="D315" s="10">
        <v>46</v>
      </c>
      <c r="E315" s="11" t="s">
        <v>693</v>
      </c>
      <c r="F315">
        <f t="shared" si="4"/>
        <v>282776</v>
      </c>
    </row>
    <row r="316" spans="1:6" x14ac:dyDescent="0.35">
      <c r="A316" s="9" t="s">
        <v>1018</v>
      </c>
      <c r="B316" s="9" t="s">
        <v>699</v>
      </c>
      <c r="C316" s="9" t="s">
        <v>702</v>
      </c>
      <c r="D316" s="10">
        <v>28</v>
      </c>
      <c r="E316" s="11" t="s">
        <v>693</v>
      </c>
      <c r="F316">
        <f t="shared" si="4"/>
        <v>283241</v>
      </c>
    </row>
    <row r="317" spans="1:6" x14ac:dyDescent="0.35">
      <c r="A317" s="9" t="s">
        <v>1019</v>
      </c>
      <c r="B317" s="9" t="s">
        <v>691</v>
      </c>
      <c r="C317" s="9" t="s">
        <v>697</v>
      </c>
      <c r="D317" s="10">
        <v>3</v>
      </c>
      <c r="E317" s="11" t="s">
        <v>693</v>
      </c>
      <c r="F317">
        <f t="shared" si="4"/>
        <v>283332</v>
      </c>
    </row>
    <row r="318" spans="1:6" x14ac:dyDescent="0.35">
      <c r="A318" s="9" t="s">
        <v>1020</v>
      </c>
      <c r="B318" s="9" t="s">
        <v>699</v>
      </c>
      <c r="C318" s="9" t="s">
        <v>709</v>
      </c>
      <c r="D318" s="10">
        <v>12</v>
      </c>
      <c r="E318" s="11" t="s">
        <v>693</v>
      </c>
      <c r="F318">
        <f t="shared" si="4"/>
        <v>283735</v>
      </c>
    </row>
    <row r="319" spans="1:6" x14ac:dyDescent="0.35">
      <c r="A319" s="9" t="s">
        <v>1021</v>
      </c>
      <c r="B319" s="9" t="s">
        <v>691</v>
      </c>
      <c r="C319" s="9" t="s">
        <v>733</v>
      </c>
      <c r="D319" s="10">
        <v>50</v>
      </c>
      <c r="E319" s="11" t="s">
        <v>693</v>
      </c>
      <c r="F319">
        <f t="shared" si="4"/>
        <v>283999</v>
      </c>
    </row>
    <row r="320" spans="1:6" x14ac:dyDescent="0.35">
      <c r="A320" s="9" t="s">
        <v>1022</v>
      </c>
      <c r="B320" s="9" t="s">
        <v>720</v>
      </c>
      <c r="C320" s="9" t="s">
        <v>721</v>
      </c>
      <c r="D320" s="10">
        <v>31.5</v>
      </c>
      <c r="E320" s="11" t="s">
        <v>693</v>
      </c>
      <c r="F320">
        <f t="shared" si="4"/>
        <v>284034</v>
      </c>
    </row>
    <row r="321" spans="1:6" x14ac:dyDescent="0.35">
      <c r="A321" s="9" t="s">
        <v>1023</v>
      </c>
      <c r="B321" s="9" t="s">
        <v>691</v>
      </c>
      <c r="C321" s="9" t="s">
        <v>733</v>
      </c>
      <c r="D321" s="10">
        <v>57</v>
      </c>
      <c r="E321" s="11" t="s">
        <v>693</v>
      </c>
      <c r="F321">
        <f t="shared" si="4"/>
        <v>284827</v>
      </c>
    </row>
    <row r="322" spans="1:6" x14ac:dyDescent="0.35">
      <c r="A322" s="9" t="s">
        <v>1024</v>
      </c>
      <c r="B322" s="9" t="s">
        <v>691</v>
      </c>
      <c r="C322" s="9" t="s">
        <v>728</v>
      </c>
      <c r="D322" s="10">
        <v>15</v>
      </c>
      <c r="E322" s="11" t="s">
        <v>693</v>
      </c>
      <c r="F322">
        <f t="shared" si="4"/>
        <v>284991</v>
      </c>
    </row>
    <row r="323" spans="1:6" x14ac:dyDescent="0.35">
      <c r="A323" s="9" t="s">
        <v>1025</v>
      </c>
      <c r="B323" s="9" t="s">
        <v>699</v>
      </c>
      <c r="C323" s="9" t="s">
        <v>702</v>
      </c>
      <c r="D323" s="10">
        <v>25.5</v>
      </c>
      <c r="E323" s="11" t="s">
        <v>693</v>
      </c>
      <c r="F323">
        <f t="shared" ref="F323:F386" si="5">VALUE(LEFT(A323,FIND(" ",A323)-1))</f>
        <v>285018</v>
      </c>
    </row>
    <row r="324" spans="1:6" x14ac:dyDescent="0.35">
      <c r="A324" s="9" t="s">
        <v>1026</v>
      </c>
      <c r="B324" s="9" t="s">
        <v>699</v>
      </c>
      <c r="C324" s="9" t="s">
        <v>702</v>
      </c>
      <c r="D324" s="10">
        <v>19.5</v>
      </c>
      <c r="E324" s="11" t="s">
        <v>693</v>
      </c>
      <c r="F324">
        <f t="shared" si="5"/>
        <v>285030</v>
      </c>
    </row>
    <row r="325" spans="1:6" x14ac:dyDescent="0.35">
      <c r="A325" s="9" t="s">
        <v>1027</v>
      </c>
      <c r="B325" s="9" t="s">
        <v>699</v>
      </c>
      <c r="C325" s="9" t="s">
        <v>700</v>
      </c>
      <c r="D325" s="10">
        <v>29</v>
      </c>
      <c r="E325" s="11" t="s">
        <v>693</v>
      </c>
      <c r="F325">
        <f t="shared" si="5"/>
        <v>285032</v>
      </c>
    </row>
    <row r="326" spans="1:6" x14ac:dyDescent="0.35">
      <c r="A326" s="9" t="s">
        <v>1028</v>
      </c>
      <c r="B326" s="9" t="s">
        <v>699</v>
      </c>
      <c r="C326" s="9" t="s">
        <v>702</v>
      </c>
      <c r="D326" s="10">
        <v>53.5</v>
      </c>
      <c r="E326" s="11" t="s">
        <v>693</v>
      </c>
      <c r="F326">
        <f t="shared" si="5"/>
        <v>285568</v>
      </c>
    </row>
    <row r="327" spans="1:6" x14ac:dyDescent="0.35">
      <c r="A327" s="9" t="s">
        <v>1029</v>
      </c>
      <c r="B327" s="9" t="s">
        <v>691</v>
      </c>
      <c r="C327" s="9" t="s">
        <v>733</v>
      </c>
      <c r="D327" s="10">
        <v>42</v>
      </c>
      <c r="E327" s="11" t="s">
        <v>693</v>
      </c>
      <c r="F327">
        <f t="shared" si="5"/>
        <v>286127</v>
      </c>
    </row>
    <row r="328" spans="1:6" x14ac:dyDescent="0.35">
      <c r="A328" s="9" t="s">
        <v>1030</v>
      </c>
      <c r="B328" s="9" t="s">
        <v>699</v>
      </c>
      <c r="C328" s="9" t="s">
        <v>700</v>
      </c>
      <c r="D328" s="10">
        <v>14</v>
      </c>
      <c r="E328" s="11" t="s">
        <v>693</v>
      </c>
      <c r="F328">
        <f t="shared" si="5"/>
        <v>286691</v>
      </c>
    </row>
    <row r="329" spans="1:6" x14ac:dyDescent="0.35">
      <c r="A329" s="9" t="s">
        <v>1031</v>
      </c>
      <c r="B329" s="9" t="s">
        <v>699</v>
      </c>
      <c r="C329" s="9" t="s">
        <v>709</v>
      </c>
      <c r="D329" s="10">
        <v>78</v>
      </c>
      <c r="E329" s="11" t="s">
        <v>693</v>
      </c>
      <c r="F329">
        <f t="shared" si="5"/>
        <v>288112</v>
      </c>
    </row>
    <row r="330" spans="1:6" x14ac:dyDescent="0.35">
      <c r="A330" s="9" t="s">
        <v>1032</v>
      </c>
      <c r="B330" s="9" t="s">
        <v>691</v>
      </c>
      <c r="C330" s="9" t="s">
        <v>697</v>
      </c>
      <c r="D330" s="10">
        <v>34</v>
      </c>
      <c r="E330" s="11" t="s">
        <v>693</v>
      </c>
      <c r="F330">
        <f t="shared" si="5"/>
        <v>288293</v>
      </c>
    </row>
    <row r="331" spans="1:6" x14ac:dyDescent="0.35">
      <c r="A331" s="9" t="s">
        <v>1033</v>
      </c>
      <c r="B331" s="9" t="s">
        <v>691</v>
      </c>
      <c r="C331" s="9" t="s">
        <v>728</v>
      </c>
      <c r="D331" s="10">
        <v>36.5</v>
      </c>
      <c r="E331" s="11" t="s">
        <v>693</v>
      </c>
      <c r="F331">
        <f t="shared" si="5"/>
        <v>288339</v>
      </c>
    </row>
    <row r="332" spans="1:6" x14ac:dyDescent="0.35">
      <c r="A332" s="9" t="s">
        <v>1034</v>
      </c>
      <c r="B332" s="9" t="s">
        <v>691</v>
      </c>
      <c r="C332" s="9" t="s">
        <v>740</v>
      </c>
      <c r="D332" s="10">
        <v>14</v>
      </c>
      <c r="E332" s="11" t="s">
        <v>693</v>
      </c>
      <c r="F332">
        <f t="shared" si="5"/>
        <v>288855</v>
      </c>
    </row>
    <row r="333" spans="1:6" x14ac:dyDescent="0.35">
      <c r="A333" s="9" t="s">
        <v>1035</v>
      </c>
      <c r="B333" s="9" t="s">
        <v>691</v>
      </c>
      <c r="C333" s="9" t="s">
        <v>692</v>
      </c>
      <c r="D333" s="10">
        <v>15</v>
      </c>
      <c r="E333" s="11" t="s">
        <v>693</v>
      </c>
      <c r="F333">
        <f t="shared" si="5"/>
        <v>289408</v>
      </c>
    </row>
    <row r="334" spans="1:6" x14ac:dyDescent="0.35">
      <c r="A334" s="9" t="s">
        <v>1036</v>
      </c>
      <c r="B334" s="9" t="s">
        <v>699</v>
      </c>
      <c r="C334" s="9" t="s">
        <v>709</v>
      </c>
      <c r="D334" s="10">
        <v>9</v>
      </c>
      <c r="E334" s="11" t="s">
        <v>693</v>
      </c>
      <c r="F334">
        <f t="shared" si="5"/>
        <v>289411</v>
      </c>
    </row>
    <row r="335" spans="1:6" x14ac:dyDescent="0.35">
      <c r="A335" s="9" t="s">
        <v>1037</v>
      </c>
      <c r="B335" s="9" t="s">
        <v>691</v>
      </c>
      <c r="C335" s="9" t="s">
        <v>728</v>
      </c>
      <c r="D335" s="10">
        <v>5</v>
      </c>
      <c r="E335" s="11" t="s">
        <v>693</v>
      </c>
      <c r="F335">
        <f t="shared" si="5"/>
        <v>289431</v>
      </c>
    </row>
    <row r="336" spans="1:6" x14ac:dyDescent="0.35">
      <c r="A336" s="9" t="s">
        <v>1038</v>
      </c>
      <c r="B336" s="9" t="s">
        <v>699</v>
      </c>
      <c r="C336" s="9" t="s">
        <v>700</v>
      </c>
      <c r="D336" s="10">
        <v>30</v>
      </c>
      <c r="E336" s="11" t="s">
        <v>693</v>
      </c>
      <c r="F336">
        <f t="shared" si="5"/>
        <v>290590</v>
      </c>
    </row>
    <row r="337" spans="1:6" x14ac:dyDescent="0.35">
      <c r="A337" s="9" t="s">
        <v>1039</v>
      </c>
      <c r="B337" s="9" t="s">
        <v>691</v>
      </c>
      <c r="C337" s="9" t="s">
        <v>733</v>
      </c>
      <c r="D337" s="10">
        <v>49</v>
      </c>
      <c r="E337" s="11" t="s">
        <v>693</v>
      </c>
      <c r="F337">
        <f t="shared" si="5"/>
        <v>291500</v>
      </c>
    </row>
    <row r="338" spans="1:6" x14ac:dyDescent="0.35">
      <c r="A338" s="9" t="s">
        <v>1040</v>
      </c>
      <c r="B338" s="9" t="s">
        <v>720</v>
      </c>
      <c r="C338" s="9" t="s">
        <v>725</v>
      </c>
      <c r="D338" s="10">
        <v>24</v>
      </c>
      <c r="E338" s="11" t="s">
        <v>693</v>
      </c>
      <c r="F338">
        <f t="shared" si="5"/>
        <v>292104</v>
      </c>
    </row>
    <row r="339" spans="1:6" x14ac:dyDescent="0.35">
      <c r="A339" s="9" t="s">
        <v>1041</v>
      </c>
      <c r="B339" s="9" t="s">
        <v>720</v>
      </c>
      <c r="C339" s="9" t="s">
        <v>721</v>
      </c>
      <c r="D339" s="10">
        <v>3</v>
      </c>
      <c r="E339" s="11" t="s">
        <v>693</v>
      </c>
      <c r="F339">
        <f t="shared" si="5"/>
        <v>292403</v>
      </c>
    </row>
    <row r="340" spans="1:6" x14ac:dyDescent="0.35">
      <c r="A340" s="9" t="s">
        <v>1042</v>
      </c>
      <c r="B340" s="9" t="s">
        <v>691</v>
      </c>
      <c r="C340" s="9" t="s">
        <v>740</v>
      </c>
      <c r="D340" s="10">
        <v>25</v>
      </c>
      <c r="E340" s="11" t="s">
        <v>693</v>
      </c>
      <c r="F340">
        <f t="shared" si="5"/>
        <v>292488</v>
      </c>
    </row>
    <row r="341" spans="1:6" x14ac:dyDescent="0.35">
      <c r="A341" s="9" t="s">
        <v>1043</v>
      </c>
      <c r="B341" s="9" t="s">
        <v>720</v>
      </c>
      <c r="C341" s="9" t="s">
        <v>721</v>
      </c>
      <c r="D341" s="10">
        <v>66</v>
      </c>
      <c r="E341" s="11" t="s">
        <v>693</v>
      </c>
      <c r="F341">
        <f t="shared" si="5"/>
        <v>292810</v>
      </c>
    </row>
    <row r="342" spans="1:6" x14ac:dyDescent="0.35">
      <c r="A342" s="9" t="s">
        <v>1044</v>
      </c>
      <c r="B342" s="9" t="s">
        <v>691</v>
      </c>
      <c r="C342" s="9" t="s">
        <v>695</v>
      </c>
      <c r="D342" s="10">
        <v>355</v>
      </c>
      <c r="E342" s="11" t="s">
        <v>693</v>
      </c>
      <c r="F342">
        <f t="shared" si="5"/>
        <v>292987</v>
      </c>
    </row>
    <row r="343" spans="1:6" x14ac:dyDescent="0.35">
      <c r="A343" s="9" t="s">
        <v>1045</v>
      </c>
      <c r="B343" s="9" t="s">
        <v>691</v>
      </c>
      <c r="C343" s="9" t="s">
        <v>733</v>
      </c>
      <c r="D343" s="10">
        <v>60</v>
      </c>
      <c r="E343" s="11" t="s">
        <v>693</v>
      </c>
      <c r="F343">
        <f t="shared" si="5"/>
        <v>293084</v>
      </c>
    </row>
    <row r="344" spans="1:6" x14ac:dyDescent="0.35">
      <c r="A344" s="9" t="s">
        <v>1046</v>
      </c>
      <c r="B344" s="9" t="s">
        <v>699</v>
      </c>
      <c r="C344" s="9" t="s">
        <v>702</v>
      </c>
      <c r="D344" s="10">
        <v>13.5</v>
      </c>
      <c r="E344" s="11" t="s">
        <v>693</v>
      </c>
      <c r="F344">
        <f t="shared" si="5"/>
        <v>293485</v>
      </c>
    </row>
    <row r="345" spans="1:6" x14ac:dyDescent="0.35">
      <c r="A345" s="9" t="s">
        <v>1047</v>
      </c>
      <c r="B345" s="9" t="s">
        <v>699</v>
      </c>
      <c r="C345" s="9" t="s">
        <v>702</v>
      </c>
      <c r="D345" s="10">
        <v>18</v>
      </c>
      <c r="E345" s="11" t="s">
        <v>693</v>
      </c>
      <c r="F345">
        <f t="shared" si="5"/>
        <v>294669</v>
      </c>
    </row>
    <row r="346" spans="1:6" x14ac:dyDescent="0.35">
      <c r="A346" s="9" t="s">
        <v>1048</v>
      </c>
      <c r="B346" s="9" t="s">
        <v>691</v>
      </c>
      <c r="C346" s="9" t="s">
        <v>697</v>
      </c>
      <c r="D346" s="10">
        <v>18</v>
      </c>
      <c r="E346" s="11" t="s">
        <v>693</v>
      </c>
      <c r="F346">
        <f t="shared" si="5"/>
        <v>295142</v>
      </c>
    </row>
    <row r="347" spans="1:6" x14ac:dyDescent="0.35">
      <c r="A347" s="9" t="s">
        <v>1049</v>
      </c>
      <c r="B347" s="9" t="s">
        <v>691</v>
      </c>
      <c r="C347" s="9" t="s">
        <v>728</v>
      </c>
      <c r="D347" s="10">
        <v>42</v>
      </c>
      <c r="E347" s="11" t="s">
        <v>693</v>
      </c>
      <c r="F347">
        <f t="shared" si="5"/>
        <v>295696</v>
      </c>
    </row>
    <row r="348" spans="1:6" x14ac:dyDescent="0.35">
      <c r="A348" s="9" t="s">
        <v>1050</v>
      </c>
      <c r="B348" s="9" t="s">
        <v>691</v>
      </c>
      <c r="C348" s="9" t="s">
        <v>695</v>
      </c>
      <c r="D348" s="10">
        <v>178</v>
      </c>
      <c r="E348" s="11" t="s">
        <v>693</v>
      </c>
      <c r="F348">
        <f t="shared" si="5"/>
        <v>295698</v>
      </c>
    </row>
    <row r="349" spans="1:6" x14ac:dyDescent="0.35">
      <c r="A349" s="9" t="s">
        <v>1051</v>
      </c>
      <c r="B349" s="9" t="s">
        <v>720</v>
      </c>
      <c r="C349" s="9" t="s">
        <v>721</v>
      </c>
      <c r="D349" s="10">
        <v>249</v>
      </c>
      <c r="E349" s="11" t="s">
        <v>693</v>
      </c>
      <c r="F349">
        <f t="shared" si="5"/>
        <v>296138</v>
      </c>
    </row>
    <row r="350" spans="1:6" x14ac:dyDescent="0.35">
      <c r="A350" s="9" t="s">
        <v>1052</v>
      </c>
      <c r="B350" s="9" t="s">
        <v>720</v>
      </c>
      <c r="C350" s="9" t="s">
        <v>721</v>
      </c>
      <c r="D350" s="10">
        <v>133</v>
      </c>
      <c r="E350" s="11" t="s">
        <v>693</v>
      </c>
      <c r="F350">
        <f t="shared" si="5"/>
        <v>296171</v>
      </c>
    </row>
    <row r="351" spans="1:6" x14ac:dyDescent="0.35">
      <c r="A351" s="9" t="s">
        <v>1053</v>
      </c>
      <c r="B351" s="9" t="s">
        <v>691</v>
      </c>
      <c r="C351" s="9" t="s">
        <v>733</v>
      </c>
      <c r="D351" s="10">
        <v>21</v>
      </c>
      <c r="E351" s="11" t="s">
        <v>693</v>
      </c>
      <c r="F351">
        <f t="shared" si="5"/>
        <v>296308</v>
      </c>
    </row>
    <row r="352" spans="1:6" x14ac:dyDescent="0.35">
      <c r="A352" s="9" t="s">
        <v>1054</v>
      </c>
      <c r="B352" s="9" t="s">
        <v>691</v>
      </c>
      <c r="C352" s="9" t="s">
        <v>740</v>
      </c>
      <c r="D352" s="10">
        <v>240</v>
      </c>
      <c r="E352" s="11" t="s">
        <v>693</v>
      </c>
      <c r="F352">
        <f t="shared" si="5"/>
        <v>296747</v>
      </c>
    </row>
    <row r="353" spans="1:6" x14ac:dyDescent="0.35">
      <c r="A353" s="9" t="s">
        <v>1055</v>
      </c>
      <c r="B353" s="9" t="s">
        <v>691</v>
      </c>
      <c r="C353" s="9" t="s">
        <v>733</v>
      </c>
      <c r="D353" s="10">
        <v>22</v>
      </c>
      <c r="E353" s="11" t="s">
        <v>693</v>
      </c>
      <c r="F353">
        <f t="shared" si="5"/>
        <v>297159</v>
      </c>
    </row>
    <row r="354" spans="1:6" x14ac:dyDescent="0.35">
      <c r="A354" s="9" t="s">
        <v>1056</v>
      </c>
      <c r="B354" s="9" t="s">
        <v>691</v>
      </c>
      <c r="C354" s="9" t="s">
        <v>733</v>
      </c>
      <c r="D354" s="10">
        <v>9</v>
      </c>
      <c r="E354" s="11" t="s">
        <v>693</v>
      </c>
      <c r="F354">
        <f t="shared" si="5"/>
        <v>297758</v>
      </c>
    </row>
    <row r="355" spans="1:6" x14ac:dyDescent="0.35">
      <c r="A355" s="9" t="s">
        <v>1057</v>
      </c>
      <c r="B355" s="9" t="s">
        <v>699</v>
      </c>
      <c r="C355" s="9" t="s">
        <v>702</v>
      </c>
      <c r="D355" s="10">
        <v>17</v>
      </c>
      <c r="E355" s="11" t="s">
        <v>693</v>
      </c>
      <c r="F355">
        <f t="shared" si="5"/>
        <v>298395</v>
      </c>
    </row>
    <row r="356" spans="1:6" x14ac:dyDescent="0.35">
      <c r="A356" s="9" t="s">
        <v>1058</v>
      </c>
      <c r="B356" s="9" t="s">
        <v>691</v>
      </c>
      <c r="C356" s="9" t="s">
        <v>695</v>
      </c>
      <c r="D356" s="10">
        <v>120</v>
      </c>
      <c r="E356" s="11" t="s">
        <v>693</v>
      </c>
      <c r="F356">
        <f t="shared" si="5"/>
        <v>298396</v>
      </c>
    </row>
    <row r="357" spans="1:6" x14ac:dyDescent="0.35">
      <c r="A357" s="9" t="s">
        <v>1059</v>
      </c>
      <c r="B357" s="9" t="s">
        <v>720</v>
      </c>
      <c r="C357" s="9" t="s">
        <v>725</v>
      </c>
      <c r="D357" s="10">
        <v>51</v>
      </c>
      <c r="E357" s="11" t="s">
        <v>693</v>
      </c>
      <c r="F357">
        <f t="shared" si="5"/>
        <v>298886</v>
      </c>
    </row>
    <row r="358" spans="1:6" x14ac:dyDescent="0.35">
      <c r="A358" s="9" t="s">
        <v>1060</v>
      </c>
      <c r="B358" s="9" t="s">
        <v>699</v>
      </c>
      <c r="C358" s="9" t="s">
        <v>709</v>
      </c>
      <c r="D358" s="10">
        <v>26</v>
      </c>
      <c r="E358" s="11" t="s">
        <v>693</v>
      </c>
      <c r="F358">
        <f t="shared" si="5"/>
        <v>298930</v>
      </c>
    </row>
    <row r="359" spans="1:6" x14ac:dyDescent="0.35">
      <c r="A359" s="9" t="s">
        <v>1061</v>
      </c>
      <c r="B359" s="9" t="s">
        <v>691</v>
      </c>
      <c r="C359" s="9" t="s">
        <v>728</v>
      </c>
      <c r="D359" s="10">
        <v>9</v>
      </c>
      <c r="E359" s="11" t="s">
        <v>693</v>
      </c>
      <c r="F359">
        <f t="shared" si="5"/>
        <v>299250</v>
      </c>
    </row>
    <row r="360" spans="1:6" x14ac:dyDescent="0.35">
      <c r="A360" s="9" t="s">
        <v>1062</v>
      </c>
      <c r="B360" s="9" t="s">
        <v>691</v>
      </c>
      <c r="C360" s="9" t="s">
        <v>692</v>
      </c>
      <c r="D360" s="10">
        <v>12.5</v>
      </c>
      <c r="E360" s="11" t="s">
        <v>693</v>
      </c>
      <c r="F360">
        <f t="shared" si="5"/>
        <v>299293</v>
      </c>
    </row>
    <row r="361" spans="1:6" x14ac:dyDescent="0.35">
      <c r="A361" s="9" t="s">
        <v>1063</v>
      </c>
      <c r="B361" s="9" t="s">
        <v>691</v>
      </c>
      <c r="C361" s="9" t="s">
        <v>728</v>
      </c>
      <c r="D361" s="10">
        <v>25</v>
      </c>
      <c r="E361" s="11" t="s">
        <v>693</v>
      </c>
      <c r="F361">
        <f t="shared" si="5"/>
        <v>299301</v>
      </c>
    </row>
    <row r="362" spans="1:6" x14ac:dyDescent="0.35">
      <c r="A362" s="9" t="s">
        <v>1064</v>
      </c>
      <c r="B362" s="9" t="s">
        <v>691</v>
      </c>
      <c r="C362" s="9" t="s">
        <v>695</v>
      </c>
      <c r="D362" s="10">
        <v>276</v>
      </c>
      <c r="E362" s="11" t="s">
        <v>693</v>
      </c>
      <c r="F362">
        <f t="shared" si="5"/>
        <v>304691</v>
      </c>
    </row>
    <row r="363" spans="1:6" x14ac:dyDescent="0.35">
      <c r="A363" s="9" t="s">
        <v>1065</v>
      </c>
      <c r="B363" s="9" t="s">
        <v>691</v>
      </c>
      <c r="C363" s="9" t="s">
        <v>740</v>
      </c>
      <c r="D363" s="10">
        <v>65</v>
      </c>
      <c r="E363" s="11" t="s">
        <v>693</v>
      </c>
      <c r="F363">
        <f t="shared" si="5"/>
        <v>304744</v>
      </c>
    </row>
    <row r="364" spans="1:6" x14ac:dyDescent="0.35">
      <c r="A364" s="9" t="s">
        <v>1066</v>
      </c>
      <c r="B364" s="9" t="s">
        <v>691</v>
      </c>
      <c r="C364" s="9" t="s">
        <v>740</v>
      </c>
      <c r="D364" s="10">
        <v>39</v>
      </c>
      <c r="E364" s="11" t="s">
        <v>693</v>
      </c>
      <c r="F364">
        <f t="shared" si="5"/>
        <v>304746</v>
      </c>
    </row>
    <row r="365" spans="1:6" x14ac:dyDescent="0.35">
      <c r="A365" s="9" t="s">
        <v>1067</v>
      </c>
      <c r="B365" s="9" t="s">
        <v>720</v>
      </c>
      <c r="C365" s="9" t="s">
        <v>721</v>
      </c>
      <c r="D365" s="10">
        <v>28</v>
      </c>
      <c r="E365" s="11" t="s">
        <v>693</v>
      </c>
      <c r="F365">
        <f t="shared" si="5"/>
        <v>305176</v>
      </c>
    </row>
    <row r="366" spans="1:6" x14ac:dyDescent="0.35">
      <c r="A366" s="9" t="s">
        <v>1068</v>
      </c>
      <c r="B366" s="9" t="s">
        <v>691</v>
      </c>
      <c r="C366" s="9" t="s">
        <v>733</v>
      </c>
      <c r="D366" s="10">
        <v>30</v>
      </c>
      <c r="E366" s="11" t="s">
        <v>693</v>
      </c>
      <c r="F366">
        <f t="shared" si="5"/>
        <v>306123</v>
      </c>
    </row>
    <row r="367" spans="1:6" x14ac:dyDescent="0.35">
      <c r="A367" s="9" t="s">
        <v>1069</v>
      </c>
      <c r="B367" s="9" t="s">
        <v>691</v>
      </c>
      <c r="C367" s="9" t="s">
        <v>733</v>
      </c>
      <c r="D367" s="10">
        <v>39</v>
      </c>
      <c r="E367" s="11" t="s">
        <v>693</v>
      </c>
      <c r="F367">
        <f t="shared" si="5"/>
        <v>306380</v>
      </c>
    </row>
    <row r="368" spans="1:6" x14ac:dyDescent="0.35">
      <c r="A368" s="9" t="s">
        <v>1070</v>
      </c>
      <c r="B368" s="9" t="s">
        <v>691</v>
      </c>
      <c r="C368" s="9" t="s">
        <v>692</v>
      </c>
      <c r="D368" s="10">
        <v>6</v>
      </c>
      <c r="E368" s="11" t="s">
        <v>693</v>
      </c>
      <c r="F368">
        <f t="shared" si="5"/>
        <v>306971</v>
      </c>
    </row>
    <row r="369" spans="1:6" x14ac:dyDescent="0.35">
      <c r="A369" s="9" t="s">
        <v>1071</v>
      </c>
      <c r="B369" s="9" t="s">
        <v>691</v>
      </c>
      <c r="C369" s="9" t="s">
        <v>695</v>
      </c>
      <c r="D369" s="10">
        <v>220</v>
      </c>
      <c r="E369" s="11" t="s">
        <v>693</v>
      </c>
      <c r="F369">
        <f t="shared" si="5"/>
        <v>307928</v>
      </c>
    </row>
    <row r="370" spans="1:6" x14ac:dyDescent="0.35">
      <c r="A370" s="9" t="s">
        <v>1072</v>
      </c>
      <c r="B370" s="9" t="s">
        <v>691</v>
      </c>
      <c r="C370" s="9" t="s">
        <v>692</v>
      </c>
      <c r="D370" s="10">
        <v>26</v>
      </c>
      <c r="E370" s="11" t="s">
        <v>693</v>
      </c>
      <c r="F370">
        <f t="shared" si="5"/>
        <v>308514</v>
      </c>
    </row>
    <row r="371" spans="1:6" x14ac:dyDescent="0.35">
      <c r="A371" s="9" t="s">
        <v>1073</v>
      </c>
      <c r="B371" s="9" t="s">
        <v>691</v>
      </c>
      <c r="C371" s="9" t="s">
        <v>697</v>
      </c>
      <c r="D371" s="10">
        <v>109</v>
      </c>
      <c r="E371" s="11" t="s">
        <v>693</v>
      </c>
      <c r="F371">
        <f t="shared" si="5"/>
        <v>308570</v>
      </c>
    </row>
    <row r="372" spans="1:6" x14ac:dyDescent="0.35">
      <c r="A372" s="9" t="s">
        <v>1074</v>
      </c>
      <c r="B372" s="9" t="s">
        <v>699</v>
      </c>
      <c r="C372" s="9" t="s">
        <v>702</v>
      </c>
      <c r="D372" s="10">
        <v>27</v>
      </c>
      <c r="E372" s="11" t="s">
        <v>693</v>
      </c>
      <c r="F372">
        <f t="shared" si="5"/>
        <v>308586</v>
      </c>
    </row>
    <row r="373" spans="1:6" x14ac:dyDescent="0.35">
      <c r="A373" s="9" t="s">
        <v>1075</v>
      </c>
      <c r="B373" s="9" t="s">
        <v>699</v>
      </c>
      <c r="C373" s="9" t="s">
        <v>709</v>
      </c>
      <c r="D373" s="10">
        <v>24.5</v>
      </c>
      <c r="E373" s="11" t="s">
        <v>693</v>
      </c>
      <c r="F373">
        <f t="shared" si="5"/>
        <v>308595</v>
      </c>
    </row>
    <row r="374" spans="1:6" x14ac:dyDescent="0.35">
      <c r="A374" s="9" t="s">
        <v>1076</v>
      </c>
      <c r="B374" s="9" t="s">
        <v>699</v>
      </c>
      <c r="C374" s="9" t="s">
        <v>702</v>
      </c>
      <c r="D374" s="10">
        <v>56</v>
      </c>
      <c r="E374" s="11" t="s">
        <v>693</v>
      </c>
      <c r="F374">
        <f t="shared" si="5"/>
        <v>308603</v>
      </c>
    </row>
    <row r="375" spans="1:6" x14ac:dyDescent="0.35">
      <c r="A375" s="9" t="s">
        <v>1077</v>
      </c>
      <c r="B375" s="9" t="s">
        <v>691</v>
      </c>
      <c r="C375" s="9" t="s">
        <v>728</v>
      </c>
      <c r="D375" s="10">
        <v>24.5</v>
      </c>
      <c r="E375" s="11" t="s">
        <v>693</v>
      </c>
      <c r="F375">
        <f t="shared" si="5"/>
        <v>308905</v>
      </c>
    </row>
    <row r="376" spans="1:6" x14ac:dyDescent="0.35">
      <c r="A376" s="9" t="s">
        <v>1078</v>
      </c>
      <c r="B376" s="9" t="s">
        <v>720</v>
      </c>
      <c r="C376" s="9" t="s">
        <v>721</v>
      </c>
      <c r="D376" s="10">
        <v>38.5</v>
      </c>
      <c r="E376" s="11" t="s">
        <v>693</v>
      </c>
      <c r="F376">
        <f t="shared" si="5"/>
        <v>309051</v>
      </c>
    </row>
    <row r="377" spans="1:6" x14ac:dyDescent="0.35">
      <c r="A377" s="9" t="s">
        <v>1079</v>
      </c>
      <c r="B377" s="9" t="s">
        <v>720</v>
      </c>
      <c r="C377" s="9" t="s">
        <v>721</v>
      </c>
      <c r="D377" s="10">
        <v>42</v>
      </c>
      <c r="E377" s="11" t="s">
        <v>693</v>
      </c>
      <c r="F377">
        <f t="shared" si="5"/>
        <v>310993</v>
      </c>
    </row>
    <row r="378" spans="1:6" x14ac:dyDescent="0.35">
      <c r="A378" s="9" t="s">
        <v>1080</v>
      </c>
      <c r="B378" s="9" t="s">
        <v>691</v>
      </c>
      <c r="C378" s="9" t="s">
        <v>733</v>
      </c>
      <c r="D378" s="10">
        <v>3</v>
      </c>
      <c r="E378" s="11" t="s">
        <v>693</v>
      </c>
      <c r="F378">
        <f t="shared" si="5"/>
        <v>311268</v>
      </c>
    </row>
    <row r="379" spans="1:6" x14ac:dyDescent="0.35">
      <c r="A379" s="9" t="s">
        <v>1081</v>
      </c>
      <c r="B379" s="9" t="s">
        <v>720</v>
      </c>
      <c r="C379" s="9" t="s">
        <v>721</v>
      </c>
      <c r="D379" s="10">
        <v>71.5</v>
      </c>
      <c r="E379" s="11" t="s">
        <v>693</v>
      </c>
      <c r="F379">
        <f t="shared" si="5"/>
        <v>311309</v>
      </c>
    </row>
    <row r="380" spans="1:6" x14ac:dyDescent="0.35">
      <c r="A380" s="9" t="s">
        <v>1082</v>
      </c>
      <c r="B380" s="9" t="s">
        <v>699</v>
      </c>
      <c r="C380" s="9" t="s">
        <v>700</v>
      </c>
      <c r="D380" s="10">
        <v>67</v>
      </c>
      <c r="E380" s="11" t="s">
        <v>693</v>
      </c>
      <c r="F380">
        <f t="shared" si="5"/>
        <v>311572</v>
      </c>
    </row>
    <row r="381" spans="1:6" x14ac:dyDescent="0.35">
      <c r="A381" s="9" t="s">
        <v>1083</v>
      </c>
      <c r="B381" s="9" t="s">
        <v>699</v>
      </c>
      <c r="C381" s="9" t="s">
        <v>700</v>
      </c>
      <c r="D381" s="10">
        <v>42</v>
      </c>
      <c r="E381" s="11" t="s">
        <v>693</v>
      </c>
      <c r="F381">
        <f t="shared" si="5"/>
        <v>311580</v>
      </c>
    </row>
    <row r="382" spans="1:6" x14ac:dyDescent="0.35">
      <c r="A382" s="9" t="s">
        <v>1084</v>
      </c>
      <c r="B382" s="9" t="s">
        <v>699</v>
      </c>
      <c r="C382" s="9" t="s">
        <v>702</v>
      </c>
      <c r="D382" s="10">
        <v>26.5</v>
      </c>
      <c r="E382" s="11" t="s">
        <v>693</v>
      </c>
      <c r="F382">
        <f t="shared" si="5"/>
        <v>312274</v>
      </c>
    </row>
    <row r="383" spans="1:6" x14ac:dyDescent="0.35">
      <c r="A383" s="9" t="s">
        <v>1085</v>
      </c>
      <c r="B383" s="9" t="s">
        <v>699</v>
      </c>
      <c r="C383" s="9" t="s">
        <v>702</v>
      </c>
      <c r="D383" s="10">
        <v>9</v>
      </c>
      <c r="E383" s="11" t="s">
        <v>693</v>
      </c>
      <c r="F383">
        <f t="shared" si="5"/>
        <v>312338</v>
      </c>
    </row>
    <row r="384" spans="1:6" x14ac:dyDescent="0.35">
      <c r="A384" s="9" t="s">
        <v>1086</v>
      </c>
      <c r="B384" s="9" t="s">
        <v>691</v>
      </c>
      <c r="C384" s="9" t="s">
        <v>695</v>
      </c>
      <c r="D384" s="10">
        <v>204</v>
      </c>
      <c r="E384" s="11" t="s">
        <v>693</v>
      </c>
      <c r="F384">
        <f t="shared" si="5"/>
        <v>312681</v>
      </c>
    </row>
    <row r="385" spans="1:6" x14ac:dyDescent="0.35">
      <c r="A385" s="9" t="s">
        <v>1087</v>
      </c>
      <c r="B385" s="9" t="s">
        <v>691</v>
      </c>
      <c r="C385" s="9" t="s">
        <v>740</v>
      </c>
      <c r="D385" s="10">
        <v>109.5</v>
      </c>
      <c r="E385" s="11" t="s">
        <v>693</v>
      </c>
      <c r="F385">
        <f t="shared" si="5"/>
        <v>312828</v>
      </c>
    </row>
    <row r="386" spans="1:6" x14ac:dyDescent="0.35">
      <c r="A386" s="9" t="s">
        <v>1088</v>
      </c>
      <c r="B386" s="9" t="s">
        <v>691</v>
      </c>
      <c r="C386" s="9" t="s">
        <v>728</v>
      </c>
      <c r="D386" s="10">
        <v>30</v>
      </c>
      <c r="E386" s="11" t="s">
        <v>693</v>
      </c>
      <c r="F386">
        <f t="shared" si="5"/>
        <v>313338</v>
      </c>
    </row>
    <row r="387" spans="1:6" x14ac:dyDescent="0.35">
      <c r="A387" s="9" t="s">
        <v>1089</v>
      </c>
      <c r="B387" s="9" t="s">
        <v>691</v>
      </c>
      <c r="C387" s="9" t="s">
        <v>728</v>
      </c>
      <c r="D387" s="10">
        <v>3</v>
      </c>
      <c r="E387" s="11" t="s">
        <v>693</v>
      </c>
      <c r="F387">
        <f t="shared" ref="F387:F450" si="6">VALUE(LEFT(A387,FIND(" ",A387)-1))</f>
        <v>313960</v>
      </c>
    </row>
    <row r="388" spans="1:6" x14ac:dyDescent="0.35">
      <c r="A388" s="9" t="s">
        <v>1090</v>
      </c>
      <c r="B388" s="9" t="s">
        <v>691</v>
      </c>
      <c r="C388" s="9" t="s">
        <v>728</v>
      </c>
      <c r="D388" s="10">
        <v>16.5</v>
      </c>
      <c r="E388" s="11" t="s">
        <v>693</v>
      </c>
      <c r="F388">
        <f t="shared" si="6"/>
        <v>315103</v>
      </c>
    </row>
    <row r="389" spans="1:6" x14ac:dyDescent="0.35">
      <c r="A389" s="9" t="s">
        <v>1091</v>
      </c>
      <c r="B389" s="9" t="s">
        <v>691</v>
      </c>
      <c r="C389" s="9" t="s">
        <v>728</v>
      </c>
      <c r="D389" s="10">
        <v>75.5</v>
      </c>
      <c r="E389" s="11" t="s">
        <v>693</v>
      </c>
      <c r="F389">
        <f t="shared" si="6"/>
        <v>315209</v>
      </c>
    </row>
    <row r="390" spans="1:6" x14ac:dyDescent="0.35">
      <c r="A390" s="9" t="s">
        <v>1092</v>
      </c>
      <c r="B390" s="9" t="s">
        <v>691</v>
      </c>
      <c r="C390" s="9" t="s">
        <v>697</v>
      </c>
      <c r="D390" s="10">
        <v>6</v>
      </c>
      <c r="E390" s="11" t="s">
        <v>693</v>
      </c>
      <c r="F390">
        <f t="shared" si="6"/>
        <v>316807</v>
      </c>
    </row>
    <row r="391" spans="1:6" x14ac:dyDescent="0.35">
      <c r="A391" s="9" t="s">
        <v>1093</v>
      </c>
      <c r="B391" s="9" t="s">
        <v>691</v>
      </c>
      <c r="C391" s="9" t="s">
        <v>733</v>
      </c>
      <c r="D391" s="10">
        <v>24</v>
      </c>
      <c r="E391" s="11" t="s">
        <v>693</v>
      </c>
      <c r="F391">
        <f t="shared" si="6"/>
        <v>319406</v>
      </c>
    </row>
    <row r="392" spans="1:6" x14ac:dyDescent="0.35">
      <c r="A392" s="9" t="s">
        <v>1094</v>
      </c>
      <c r="B392" s="9" t="s">
        <v>691</v>
      </c>
      <c r="C392" s="9" t="s">
        <v>697</v>
      </c>
      <c r="D392" s="10">
        <v>33</v>
      </c>
      <c r="E392" s="11" t="s">
        <v>693</v>
      </c>
      <c r="F392">
        <f t="shared" si="6"/>
        <v>319411</v>
      </c>
    </row>
    <row r="393" spans="1:6" x14ac:dyDescent="0.35">
      <c r="A393" s="9" t="s">
        <v>1095</v>
      </c>
      <c r="B393" s="9" t="s">
        <v>699</v>
      </c>
      <c r="C393" s="9" t="s">
        <v>700</v>
      </c>
      <c r="D393" s="10">
        <v>15</v>
      </c>
      <c r="E393" s="11" t="s">
        <v>693</v>
      </c>
      <c r="F393">
        <f t="shared" si="6"/>
        <v>320001</v>
      </c>
    </row>
    <row r="394" spans="1:6" x14ac:dyDescent="0.35">
      <c r="A394" s="9" t="s">
        <v>1096</v>
      </c>
      <c r="B394" s="9" t="s">
        <v>699</v>
      </c>
      <c r="C394" s="9" t="s">
        <v>709</v>
      </c>
      <c r="D394" s="10">
        <v>26.5</v>
      </c>
      <c r="E394" s="11" t="s">
        <v>693</v>
      </c>
      <c r="F394">
        <f t="shared" si="6"/>
        <v>323650</v>
      </c>
    </row>
    <row r="395" spans="1:6" x14ac:dyDescent="0.35">
      <c r="A395" s="9" t="s">
        <v>1097</v>
      </c>
      <c r="B395" s="9" t="s">
        <v>720</v>
      </c>
      <c r="C395" s="9" t="s">
        <v>725</v>
      </c>
      <c r="D395" s="10">
        <v>49</v>
      </c>
      <c r="E395" s="11" t="s">
        <v>693</v>
      </c>
      <c r="F395">
        <f t="shared" si="6"/>
        <v>324304</v>
      </c>
    </row>
    <row r="396" spans="1:6" x14ac:dyDescent="0.35">
      <c r="A396" s="9" t="s">
        <v>1098</v>
      </c>
      <c r="B396" s="9" t="s">
        <v>691</v>
      </c>
      <c r="C396" s="9" t="s">
        <v>740</v>
      </c>
      <c r="D396" s="10">
        <v>322</v>
      </c>
      <c r="E396" s="11" t="s">
        <v>693</v>
      </c>
      <c r="F396">
        <f t="shared" si="6"/>
        <v>325050</v>
      </c>
    </row>
    <row r="397" spans="1:6" x14ac:dyDescent="0.35">
      <c r="A397" s="9" t="s">
        <v>1099</v>
      </c>
      <c r="B397" s="9" t="s">
        <v>691</v>
      </c>
      <c r="C397" s="9" t="s">
        <v>692</v>
      </c>
      <c r="D397" s="10">
        <v>25.5</v>
      </c>
      <c r="E397" s="11" t="s">
        <v>693</v>
      </c>
      <c r="F397">
        <f t="shared" si="6"/>
        <v>325054</v>
      </c>
    </row>
    <row r="398" spans="1:6" x14ac:dyDescent="0.35">
      <c r="A398" s="9" t="s">
        <v>1100</v>
      </c>
      <c r="B398" s="9" t="s">
        <v>691</v>
      </c>
      <c r="C398" s="9" t="s">
        <v>728</v>
      </c>
      <c r="D398" s="10">
        <v>40</v>
      </c>
      <c r="E398" s="11" t="s">
        <v>693</v>
      </c>
      <c r="F398">
        <f t="shared" si="6"/>
        <v>325871</v>
      </c>
    </row>
    <row r="399" spans="1:6" x14ac:dyDescent="0.35">
      <c r="A399" s="9" t="s">
        <v>1101</v>
      </c>
      <c r="B399" s="9" t="s">
        <v>691</v>
      </c>
      <c r="C399" s="9" t="s">
        <v>692</v>
      </c>
      <c r="D399" s="10">
        <v>42</v>
      </c>
      <c r="E399" s="11" t="s">
        <v>693</v>
      </c>
      <c r="F399">
        <f t="shared" si="6"/>
        <v>325976</v>
      </c>
    </row>
    <row r="400" spans="1:6" x14ac:dyDescent="0.35">
      <c r="A400" s="9" t="s">
        <v>1102</v>
      </c>
      <c r="B400" s="9" t="s">
        <v>691</v>
      </c>
      <c r="C400" s="9" t="s">
        <v>692</v>
      </c>
      <c r="D400" s="10">
        <v>26</v>
      </c>
      <c r="E400" s="11" t="s">
        <v>693</v>
      </c>
      <c r="F400">
        <f t="shared" si="6"/>
        <v>326616</v>
      </c>
    </row>
    <row r="401" spans="1:6" x14ac:dyDescent="0.35">
      <c r="A401" s="9" t="s">
        <v>1103</v>
      </c>
      <c r="B401" s="9" t="s">
        <v>691</v>
      </c>
      <c r="C401" s="9" t="s">
        <v>692</v>
      </c>
      <c r="D401" s="10">
        <v>44.5</v>
      </c>
      <c r="E401" s="11" t="s">
        <v>693</v>
      </c>
      <c r="F401">
        <f t="shared" si="6"/>
        <v>326627</v>
      </c>
    </row>
    <row r="402" spans="1:6" x14ac:dyDescent="0.35">
      <c r="A402" s="9" t="s">
        <v>1104</v>
      </c>
      <c r="B402" s="9" t="s">
        <v>720</v>
      </c>
      <c r="C402" s="9" t="s">
        <v>725</v>
      </c>
      <c r="D402" s="10">
        <v>24.5</v>
      </c>
      <c r="E402" s="11" t="s">
        <v>693</v>
      </c>
      <c r="F402">
        <f t="shared" si="6"/>
        <v>326650</v>
      </c>
    </row>
    <row r="403" spans="1:6" x14ac:dyDescent="0.35">
      <c r="A403" s="9" t="s">
        <v>1105</v>
      </c>
      <c r="B403" s="9" t="s">
        <v>720</v>
      </c>
      <c r="C403" s="9" t="s">
        <v>725</v>
      </c>
      <c r="D403" s="10">
        <v>6</v>
      </c>
      <c r="E403" s="11" t="s">
        <v>693</v>
      </c>
      <c r="F403">
        <f t="shared" si="6"/>
        <v>327530</v>
      </c>
    </row>
    <row r="404" spans="1:6" x14ac:dyDescent="0.35">
      <c r="A404" s="9" t="s">
        <v>1106</v>
      </c>
      <c r="B404" s="9" t="s">
        <v>691</v>
      </c>
      <c r="C404" s="9" t="s">
        <v>692</v>
      </c>
      <c r="D404" s="10">
        <v>29</v>
      </c>
      <c r="E404" s="11" t="s">
        <v>693</v>
      </c>
      <c r="F404">
        <f t="shared" si="6"/>
        <v>327553</v>
      </c>
    </row>
    <row r="405" spans="1:6" x14ac:dyDescent="0.35">
      <c r="A405" s="9" t="s">
        <v>1107</v>
      </c>
      <c r="B405" s="9" t="s">
        <v>720</v>
      </c>
      <c r="C405" s="9" t="s">
        <v>721</v>
      </c>
      <c r="D405" s="10">
        <v>27</v>
      </c>
      <c r="E405" s="11" t="s">
        <v>693</v>
      </c>
      <c r="F405">
        <f t="shared" si="6"/>
        <v>327559</v>
      </c>
    </row>
    <row r="406" spans="1:6" x14ac:dyDescent="0.35">
      <c r="A406" s="9" t="s">
        <v>1108</v>
      </c>
      <c r="B406" s="9" t="s">
        <v>699</v>
      </c>
      <c r="C406" s="9" t="s">
        <v>709</v>
      </c>
      <c r="D406" s="10">
        <v>15</v>
      </c>
      <c r="E406" s="11" t="s">
        <v>693</v>
      </c>
      <c r="F406">
        <f t="shared" si="6"/>
        <v>328581</v>
      </c>
    </row>
    <row r="407" spans="1:6" x14ac:dyDescent="0.35">
      <c r="A407" s="9" t="s">
        <v>1109</v>
      </c>
      <c r="B407" s="9" t="s">
        <v>720</v>
      </c>
      <c r="C407" s="9" t="s">
        <v>725</v>
      </c>
      <c r="D407" s="10">
        <v>27</v>
      </c>
      <c r="E407" s="11" t="s">
        <v>693</v>
      </c>
      <c r="F407">
        <f t="shared" si="6"/>
        <v>328609</v>
      </c>
    </row>
    <row r="408" spans="1:6" x14ac:dyDescent="0.35">
      <c r="A408" s="9" t="s">
        <v>1110</v>
      </c>
      <c r="B408" s="9" t="s">
        <v>699</v>
      </c>
      <c r="C408" s="9" t="s">
        <v>702</v>
      </c>
      <c r="D408" s="10">
        <v>15</v>
      </c>
      <c r="E408" s="11" t="s">
        <v>693</v>
      </c>
      <c r="F408">
        <f t="shared" si="6"/>
        <v>328616</v>
      </c>
    </row>
    <row r="409" spans="1:6" x14ac:dyDescent="0.35">
      <c r="A409" s="9" t="s">
        <v>1111</v>
      </c>
      <c r="B409" s="9" t="s">
        <v>691</v>
      </c>
      <c r="C409" s="9" t="s">
        <v>733</v>
      </c>
      <c r="D409" s="10">
        <v>45</v>
      </c>
      <c r="E409" s="11" t="s">
        <v>693</v>
      </c>
      <c r="F409">
        <f t="shared" si="6"/>
        <v>329224</v>
      </c>
    </row>
    <row r="410" spans="1:6" x14ac:dyDescent="0.35">
      <c r="A410" s="9" t="s">
        <v>1112</v>
      </c>
      <c r="B410" s="9" t="s">
        <v>691</v>
      </c>
      <c r="C410" s="9" t="s">
        <v>695</v>
      </c>
      <c r="D410" s="10">
        <v>190</v>
      </c>
      <c r="E410" s="11" t="s">
        <v>693</v>
      </c>
      <c r="F410">
        <f t="shared" si="6"/>
        <v>331151</v>
      </c>
    </row>
    <row r="411" spans="1:6" x14ac:dyDescent="0.35">
      <c r="A411" s="9" t="s">
        <v>1113</v>
      </c>
      <c r="B411" s="9" t="s">
        <v>699</v>
      </c>
      <c r="C411" s="9" t="s">
        <v>700</v>
      </c>
      <c r="D411" s="10">
        <v>21</v>
      </c>
      <c r="E411" s="11" t="s">
        <v>693</v>
      </c>
      <c r="F411">
        <f t="shared" si="6"/>
        <v>331158</v>
      </c>
    </row>
    <row r="412" spans="1:6" x14ac:dyDescent="0.35">
      <c r="A412" s="9" t="s">
        <v>1114</v>
      </c>
      <c r="B412" s="9" t="s">
        <v>720</v>
      </c>
      <c r="C412" s="9" t="s">
        <v>721</v>
      </c>
      <c r="D412" s="10">
        <v>24.5</v>
      </c>
      <c r="E412" s="11" t="s">
        <v>693</v>
      </c>
      <c r="F412">
        <f t="shared" si="6"/>
        <v>331184</v>
      </c>
    </row>
    <row r="413" spans="1:6" x14ac:dyDescent="0.35">
      <c r="A413" s="9" t="s">
        <v>1115</v>
      </c>
      <c r="B413" s="9" t="s">
        <v>691</v>
      </c>
      <c r="C413" s="9" t="s">
        <v>728</v>
      </c>
      <c r="D413" s="10">
        <v>25</v>
      </c>
      <c r="E413" s="11" t="s">
        <v>693</v>
      </c>
      <c r="F413">
        <f t="shared" si="6"/>
        <v>331375</v>
      </c>
    </row>
    <row r="414" spans="1:6" x14ac:dyDescent="0.35">
      <c r="A414" s="9" t="s">
        <v>1116</v>
      </c>
      <c r="B414" s="9" t="s">
        <v>691</v>
      </c>
      <c r="C414" s="9" t="s">
        <v>740</v>
      </c>
      <c r="D414" s="10">
        <v>205</v>
      </c>
      <c r="E414" s="11" t="s">
        <v>693</v>
      </c>
      <c r="F414">
        <f t="shared" si="6"/>
        <v>331708</v>
      </c>
    </row>
    <row r="415" spans="1:6" x14ac:dyDescent="0.35">
      <c r="A415" s="9" t="s">
        <v>1117</v>
      </c>
      <c r="B415" s="9" t="s">
        <v>691</v>
      </c>
      <c r="C415" s="9" t="s">
        <v>692</v>
      </c>
      <c r="D415" s="10">
        <v>61</v>
      </c>
      <c r="E415" s="11" t="s">
        <v>693</v>
      </c>
      <c r="F415">
        <f t="shared" si="6"/>
        <v>331907</v>
      </c>
    </row>
    <row r="416" spans="1:6" x14ac:dyDescent="0.35">
      <c r="A416" s="9" t="s">
        <v>1118</v>
      </c>
      <c r="B416" s="9" t="s">
        <v>691</v>
      </c>
      <c r="C416" s="9" t="s">
        <v>733</v>
      </c>
      <c r="D416" s="10">
        <v>33</v>
      </c>
      <c r="E416" s="11" t="s">
        <v>693</v>
      </c>
      <c r="F416">
        <f t="shared" si="6"/>
        <v>332065</v>
      </c>
    </row>
    <row r="417" spans="1:6" x14ac:dyDescent="0.35">
      <c r="A417" s="9" t="s">
        <v>1119</v>
      </c>
      <c r="B417" s="9" t="s">
        <v>691</v>
      </c>
      <c r="C417" s="9" t="s">
        <v>740</v>
      </c>
      <c r="D417" s="10">
        <v>79</v>
      </c>
      <c r="E417" s="11" t="s">
        <v>693</v>
      </c>
      <c r="F417">
        <f t="shared" si="6"/>
        <v>332691</v>
      </c>
    </row>
    <row r="418" spans="1:6" x14ac:dyDescent="0.35">
      <c r="A418" s="9" t="s">
        <v>1120</v>
      </c>
      <c r="B418" s="9" t="s">
        <v>699</v>
      </c>
      <c r="C418" s="9" t="s">
        <v>700</v>
      </c>
      <c r="D418" s="10">
        <v>55</v>
      </c>
      <c r="E418" s="11" t="s">
        <v>693</v>
      </c>
      <c r="F418">
        <f t="shared" si="6"/>
        <v>332702</v>
      </c>
    </row>
    <row r="419" spans="1:6" x14ac:dyDescent="0.35">
      <c r="A419" s="9" t="s">
        <v>1121</v>
      </c>
      <c r="B419" s="9" t="s">
        <v>720</v>
      </c>
      <c r="C419" s="9" t="s">
        <v>721</v>
      </c>
      <c r="D419" s="10">
        <v>9</v>
      </c>
      <c r="E419" s="11" t="s">
        <v>693</v>
      </c>
      <c r="F419">
        <f t="shared" si="6"/>
        <v>332711</v>
      </c>
    </row>
    <row r="420" spans="1:6" x14ac:dyDescent="0.35">
      <c r="A420" s="9" t="s">
        <v>1122</v>
      </c>
      <c r="B420" s="9" t="s">
        <v>699</v>
      </c>
      <c r="C420" s="9" t="s">
        <v>702</v>
      </c>
      <c r="D420" s="10">
        <v>6</v>
      </c>
      <c r="E420" s="11" t="s">
        <v>693</v>
      </c>
      <c r="F420">
        <f t="shared" si="6"/>
        <v>332752</v>
      </c>
    </row>
    <row r="421" spans="1:6" x14ac:dyDescent="0.35">
      <c r="A421" s="9" t="s">
        <v>1123</v>
      </c>
      <c r="B421" s="9" t="s">
        <v>691</v>
      </c>
      <c r="C421" s="9" t="s">
        <v>697</v>
      </c>
      <c r="D421" s="10">
        <v>26</v>
      </c>
      <c r="E421" s="11" t="s">
        <v>693</v>
      </c>
      <c r="F421">
        <f t="shared" si="6"/>
        <v>332796</v>
      </c>
    </row>
    <row r="422" spans="1:6" x14ac:dyDescent="0.35">
      <c r="A422" s="9" t="s">
        <v>1124</v>
      </c>
      <c r="B422" s="9" t="s">
        <v>691</v>
      </c>
      <c r="C422" s="9" t="s">
        <v>733</v>
      </c>
      <c r="D422" s="10">
        <v>12</v>
      </c>
      <c r="E422" s="11" t="s">
        <v>693</v>
      </c>
      <c r="F422">
        <f t="shared" si="6"/>
        <v>332801</v>
      </c>
    </row>
    <row r="423" spans="1:6" x14ac:dyDescent="0.35">
      <c r="A423" s="9" t="s">
        <v>1125</v>
      </c>
      <c r="B423" s="9" t="s">
        <v>691</v>
      </c>
      <c r="C423" s="9" t="s">
        <v>740</v>
      </c>
      <c r="D423" s="10">
        <v>18.5</v>
      </c>
      <c r="E423" s="11" t="s">
        <v>693</v>
      </c>
      <c r="F423">
        <f t="shared" si="6"/>
        <v>333846</v>
      </c>
    </row>
    <row r="424" spans="1:6" x14ac:dyDescent="0.35">
      <c r="A424" s="9" t="s">
        <v>1126</v>
      </c>
      <c r="B424" s="9" t="s">
        <v>691</v>
      </c>
      <c r="C424" s="9" t="s">
        <v>697</v>
      </c>
      <c r="D424" s="10">
        <v>15</v>
      </c>
      <c r="E424" s="11" t="s">
        <v>693</v>
      </c>
      <c r="F424">
        <f t="shared" si="6"/>
        <v>333927</v>
      </c>
    </row>
    <row r="425" spans="1:6" x14ac:dyDescent="0.35">
      <c r="A425" s="9" t="s">
        <v>1127</v>
      </c>
      <c r="B425" s="9" t="s">
        <v>691</v>
      </c>
      <c r="C425" s="9" t="s">
        <v>740</v>
      </c>
      <c r="D425" s="10">
        <v>24</v>
      </c>
      <c r="E425" s="11" t="s">
        <v>693</v>
      </c>
      <c r="F425">
        <f t="shared" si="6"/>
        <v>334432</v>
      </c>
    </row>
    <row r="426" spans="1:6" x14ac:dyDescent="0.35">
      <c r="A426" s="9" t="s">
        <v>1128</v>
      </c>
      <c r="B426" s="9" t="s">
        <v>691</v>
      </c>
      <c r="C426" s="9" t="s">
        <v>740</v>
      </c>
      <c r="D426" s="10">
        <v>30</v>
      </c>
      <c r="E426" s="11" t="s">
        <v>693</v>
      </c>
      <c r="F426">
        <f t="shared" si="6"/>
        <v>334612</v>
      </c>
    </row>
    <row r="427" spans="1:6" x14ac:dyDescent="0.35">
      <c r="A427" s="9" t="s">
        <v>1129</v>
      </c>
      <c r="B427" s="9" t="s">
        <v>691</v>
      </c>
      <c r="C427" s="9" t="s">
        <v>697</v>
      </c>
      <c r="D427" s="10">
        <v>19</v>
      </c>
      <c r="E427" s="11" t="s">
        <v>693</v>
      </c>
      <c r="F427">
        <f t="shared" si="6"/>
        <v>334890</v>
      </c>
    </row>
    <row r="428" spans="1:6" x14ac:dyDescent="0.35">
      <c r="A428" s="9" t="s">
        <v>1130</v>
      </c>
      <c r="B428" s="9" t="s">
        <v>691</v>
      </c>
      <c r="C428" s="9" t="s">
        <v>697</v>
      </c>
      <c r="D428" s="10">
        <v>59</v>
      </c>
      <c r="E428" s="11" t="s">
        <v>693</v>
      </c>
      <c r="F428">
        <f t="shared" si="6"/>
        <v>335113</v>
      </c>
    </row>
    <row r="429" spans="1:6" x14ac:dyDescent="0.35">
      <c r="A429" s="9" t="s">
        <v>1131</v>
      </c>
      <c r="B429" s="9" t="s">
        <v>691</v>
      </c>
      <c r="C429" s="9" t="s">
        <v>692</v>
      </c>
      <c r="D429" s="10">
        <v>21</v>
      </c>
      <c r="E429" s="11" t="s">
        <v>693</v>
      </c>
      <c r="F429">
        <f t="shared" si="6"/>
        <v>335534</v>
      </c>
    </row>
    <row r="430" spans="1:6" x14ac:dyDescent="0.35">
      <c r="A430" s="9" t="s">
        <v>1132</v>
      </c>
      <c r="B430" s="9" t="s">
        <v>691</v>
      </c>
      <c r="C430" s="9" t="s">
        <v>728</v>
      </c>
      <c r="D430" s="10">
        <v>40</v>
      </c>
      <c r="E430" s="11" t="s">
        <v>693</v>
      </c>
      <c r="F430">
        <f t="shared" si="6"/>
        <v>335558</v>
      </c>
    </row>
    <row r="431" spans="1:6" x14ac:dyDescent="0.35">
      <c r="A431" s="9" t="s">
        <v>1133</v>
      </c>
      <c r="B431" s="9" t="s">
        <v>720</v>
      </c>
      <c r="C431" s="9" t="s">
        <v>721</v>
      </c>
      <c r="D431" s="10">
        <v>58.5</v>
      </c>
      <c r="E431" s="11" t="s">
        <v>693</v>
      </c>
      <c r="F431">
        <f t="shared" si="6"/>
        <v>335564</v>
      </c>
    </row>
    <row r="432" spans="1:6" x14ac:dyDescent="0.35">
      <c r="A432" s="9" t="s">
        <v>1134</v>
      </c>
      <c r="B432" s="9" t="s">
        <v>720</v>
      </c>
      <c r="C432" s="9" t="s">
        <v>725</v>
      </c>
      <c r="D432" s="10">
        <v>6</v>
      </c>
      <c r="E432" s="11" t="s">
        <v>693</v>
      </c>
      <c r="F432">
        <f t="shared" si="6"/>
        <v>335581</v>
      </c>
    </row>
    <row r="433" spans="1:6" x14ac:dyDescent="0.35">
      <c r="A433" s="9" t="s">
        <v>1135</v>
      </c>
      <c r="B433" s="9" t="s">
        <v>691</v>
      </c>
      <c r="C433" s="9" t="s">
        <v>740</v>
      </c>
      <c r="D433" s="10">
        <v>33.5</v>
      </c>
      <c r="E433" s="11" t="s">
        <v>693</v>
      </c>
      <c r="F433">
        <f t="shared" si="6"/>
        <v>336345</v>
      </c>
    </row>
    <row r="434" spans="1:6" x14ac:dyDescent="0.35">
      <c r="A434" s="9" t="s">
        <v>1136</v>
      </c>
      <c r="B434" s="9" t="s">
        <v>691</v>
      </c>
      <c r="C434" s="9" t="s">
        <v>697</v>
      </c>
      <c r="D434" s="10">
        <v>160</v>
      </c>
      <c r="E434" s="11" t="s">
        <v>693</v>
      </c>
      <c r="F434">
        <f t="shared" si="6"/>
        <v>336616</v>
      </c>
    </row>
    <row r="435" spans="1:6" x14ac:dyDescent="0.35">
      <c r="A435" s="9" t="s">
        <v>1137</v>
      </c>
      <c r="B435" s="9" t="s">
        <v>691</v>
      </c>
      <c r="C435" s="9" t="s">
        <v>728</v>
      </c>
      <c r="D435" s="10">
        <v>6</v>
      </c>
      <c r="E435" s="11" t="s">
        <v>693</v>
      </c>
      <c r="F435">
        <f t="shared" si="6"/>
        <v>336622</v>
      </c>
    </row>
    <row r="436" spans="1:6" x14ac:dyDescent="0.35">
      <c r="A436" s="9" t="s">
        <v>1138</v>
      </c>
      <c r="B436" s="9" t="s">
        <v>720</v>
      </c>
      <c r="C436" s="9" t="s">
        <v>721</v>
      </c>
      <c r="D436" s="10">
        <v>38</v>
      </c>
      <c r="E436" s="11" t="s">
        <v>693</v>
      </c>
      <c r="F436">
        <f t="shared" si="6"/>
        <v>336754</v>
      </c>
    </row>
    <row r="437" spans="1:6" x14ac:dyDescent="0.35">
      <c r="A437" s="9" t="s">
        <v>1139</v>
      </c>
      <c r="B437" s="9" t="s">
        <v>691</v>
      </c>
      <c r="C437" s="9" t="s">
        <v>733</v>
      </c>
      <c r="D437" s="10">
        <v>79</v>
      </c>
      <c r="E437" s="11" t="s">
        <v>693</v>
      </c>
      <c r="F437">
        <f t="shared" si="6"/>
        <v>336875</v>
      </c>
    </row>
    <row r="438" spans="1:6" x14ac:dyDescent="0.35">
      <c r="A438" s="9" t="s">
        <v>1140</v>
      </c>
      <c r="B438" s="9" t="s">
        <v>691</v>
      </c>
      <c r="C438" s="9" t="s">
        <v>692</v>
      </c>
      <c r="D438" s="10">
        <v>40</v>
      </c>
      <c r="E438" s="11" t="s">
        <v>693</v>
      </c>
      <c r="F438">
        <f t="shared" si="6"/>
        <v>337104</v>
      </c>
    </row>
    <row r="439" spans="1:6" x14ac:dyDescent="0.35">
      <c r="A439" s="9" t="s">
        <v>1141</v>
      </c>
      <c r="B439" s="9" t="s">
        <v>699</v>
      </c>
      <c r="C439" s="9" t="s">
        <v>700</v>
      </c>
      <c r="D439" s="10">
        <v>37</v>
      </c>
      <c r="E439" s="11" t="s">
        <v>693</v>
      </c>
      <c r="F439">
        <f t="shared" si="6"/>
        <v>337539</v>
      </c>
    </row>
    <row r="440" spans="1:6" x14ac:dyDescent="0.35">
      <c r="A440" s="9" t="s">
        <v>1142</v>
      </c>
      <c r="B440" s="9" t="s">
        <v>699</v>
      </c>
      <c r="C440" s="9" t="s">
        <v>709</v>
      </c>
      <c r="D440" s="10">
        <v>9.5</v>
      </c>
      <c r="E440" s="11" t="s">
        <v>693</v>
      </c>
      <c r="F440">
        <f t="shared" si="6"/>
        <v>337607</v>
      </c>
    </row>
    <row r="441" spans="1:6" x14ac:dyDescent="0.35">
      <c r="A441" s="9" t="s">
        <v>1143</v>
      </c>
      <c r="B441" s="9" t="s">
        <v>720</v>
      </c>
      <c r="C441" s="9" t="s">
        <v>725</v>
      </c>
      <c r="D441" s="10">
        <v>14</v>
      </c>
      <c r="E441" s="11" t="s">
        <v>693</v>
      </c>
      <c r="F441">
        <f t="shared" si="6"/>
        <v>337709</v>
      </c>
    </row>
    <row r="442" spans="1:6" x14ac:dyDescent="0.35">
      <c r="A442" s="9" t="s">
        <v>1144</v>
      </c>
      <c r="B442" s="9" t="s">
        <v>720</v>
      </c>
      <c r="C442" s="9" t="s">
        <v>725</v>
      </c>
      <c r="D442" s="10">
        <v>27</v>
      </c>
      <c r="E442" s="11" t="s">
        <v>693</v>
      </c>
      <c r="F442">
        <f t="shared" si="6"/>
        <v>337776</v>
      </c>
    </row>
    <row r="443" spans="1:6" x14ac:dyDescent="0.35">
      <c r="A443" s="9" t="s">
        <v>1145</v>
      </c>
      <c r="B443" s="9" t="s">
        <v>691</v>
      </c>
      <c r="C443" s="9" t="s">
        <v>728</v>
      </c>
      <c r="D443" s="10">
        <v>33</v>
      </c>
      <c r="E443" s="11" t="s">
        <v>693</v>
      </c>
      <c r="F443">
        <f t="shared" si="6"/>
        <v>338424</v>
      </c>
    </row>
    <row r="444" spans="1:6" x14ac:dyDescent="0.35">
      <c r="A444" s="9" t="s">
        <v>1146</v>
      </c>
      <c r="B444" s="9" t="s">
        <v>691</v>
      </c>
      <c r="C444" s="9" t="s">
        <v>697</v>
      </c>
      <c r="D444" s="10">
        <v>63</v>
      </c>
      <c r="E444" s="11" t="s">
        <v>693</v>
      </c>
      <c r="F444">
        <f t="shared" si="6"/>
        <v>338696</v>
      </c>
    </row>
    <row r="445" spans="1:6" x14ac:dyDescent="0.35">
      <c r="A445" s="9" t="s">
        <v>1147</v>
      </c>
      <c r="B445" s="9" t="s">
        <v>691</v>
      </c>
      <c r="C445" s="9" t="s">
        <v>692</v>
      </c>
      <c r="D445" s="10">
        <v>38</v>
      </c>
      <c r="E445" s="11" t="s">
        <v>693</v>
      </c>
      <c r="F445">
        <f t="shared" si="6"/>
        <v>338727</v>
      </c>
    </row>
    <row r="446" spans="1:6" x14ac:dyDescent="0.35">
      <c r="A446" s="9" t="s">
        <v>1148</v>
      </c>
      <c r="B446" s="9" t="s">
        <v>699</v>
      </c>
      <c r="C446" s="9" t="s">
        <v>700</v>
      </c>
      <c r="D446" s="10">
        <v>37</v>
      </c>
      <c r="E446" s="11" t="s">
        <v>693</v>
      </c>
      <c r="F446">
        <f t="shared" si="6"/>
        <v>338750</v>
      </c>
    </row>
    <row r="447" spans="1:6" x14ac:dyDescent="0.35">
      <c r="A447" s="9" t="s">
        <v>1149</v>
      </c>
      <c r="B447" s="9" t="s">
        <v>691</v>
      </c>
      <c r="C447" s="9" t="s">
        <v>733</v>
      </c>
      <c r="D447" s="10">
        <v>69</v>
      </c>
      <c r="E447" s="11" t="s">
        <v>693</v>
      </c>
      <c r="F447">
        <f t="shared" si="6"/>
        <v>338875</v>
      </c>
    </row>
    <row r="448" spans="1:6" x14ac:dyDescent="0.35">
      <c r="A448" s="9" t="s">
        <v>1150</v>
      </c>
      <c r="B448" s="9" t="s">
        <v>691</v>
      </c>
      <c r="C448" s="9" t="s">
        <v>697</v>
      </c>
      <c r="D448" s="10">
        <v>23</v>
      </c>
      <c r="E448" s="11" t="s">
        <v>693</v>
      </c>
      <c r="F448">
        <f t="shared" si="6"/>
        <v>338877</v>
      </c>
    </row>
    <row r="449" spans="1:6" x14ac:dyDescent="0.35">
      <c r="A449" s="9" t="s">
        <v>1151</v>
      </c>
      <c r="B449" s="9" t="s">
        <v>699</v>
      </c>
      <c r="C449" s="9" t="s">
        <v>702</v>
      </c>
      <c r="D449" s="10">
        <v>103.5</v>
      </c>
      <c r="E449" s="11" t="s">
        <v>693</v>
      </c>
      <c r="F449">
        <f t="shared" si="6"/>
        <v>338885</v>
      </c>
    </row>
    <row r="450" spans="1:6" x14ac:dyDescent="0.35">
      <c r="A450" s="9" t="s">
        <v>1152</v>
      </c>
      <c r="B450" s="9" t="s">
        <v>691</v>
      </c>
      <c r="C450" s="9" t="s">
        <v>728</v>
      </c>
      <c r="D450" s="10">
        <v>19</v>
      </c>
      <c r="E450" s="11" t="s">
        <v>693</v>
      </c>
      <c r="F450">
        <f t="shared" si="6"/>
        <v>338994</v>
      </c>
    </row>
    <row r="451" spans="1:6" x14ac:dyDescent="0.35">
      <c r="A451" s="9" t="s">
        <v>1153</v>
      </c>
      <c r="B451" s="9" t="s">
        <v>691</v>
      </c>
      <c r="C451" s="9" t="s">
        <v>733</v>
      </c>
      <c r="D451" s="10">
        <v>67.5</v>
      </c>
      <c r="E451" s="11" t="s">
        <v>693</v>
      </c>
      <c r="F451">
        <f t="shared" ref="F451:F514" si="7">VALUE(LEFT(A451,FIND(" ",A451)-1))</f>
        <v>338999</v>
      </c>
    </row>
    <row r="452" spans="1:6" x14ac:dyDescent="0.35">
      <c r="A452" s="9" t="s">
        <v>1154</v>
      </c>
      <c r="B452" s="9" t="s">
        <v>720</v>
      </c>
      <c r="C452" s="9" t="s">
        <v>721</v>
      </c>
      <c r="D452" s="10">
        <v>56</v>
      </c>
      <c r="E452" s="11" t="s">
        <v>693</v>
      </c>
      <c r="F452">
        <f t="shared" si="7"/>
        <v>339681</v>
      </c>
    </row>
    <row r="453" spans="1:6" x14ac:dyDescent="0.35">
      <c r="A453" s="9" t="s">
        <v>1155</v>
      </c>
      <c r="B453" s="9" t="s">
        <v>720</v>
      </c>
      <c r="C453" s="9" t="s">
        <v>721</v>
      </c>
      <c r="D453" s="10">
        <v>24</v>
      </c>
      <c r="E453" s="11" t="s">
        <v>693</v>
      </c>
      <c r="F453">
        <f t="shared" si="7"/>
        <v>340180</v>
      </c>
    </row>
    <row r="454" spans="1:6" x14ac:dyDescent="0.35">
      <c r="A454" s="9" t="s">
        <v>1156</v>
      </c>
      <c r="B454" s="9" t="s">
        <v>720</v>
      </c>
      <c r="C454" s="9" t="s">
        <v>721</v>
      </c>
      <c r="D454" s="10">
        <v>6</v>
      </c>
      <c r="E454" s="11" t="s">
        <v>693</v>
      </c>
      <c r="F454">
        <f t="shared" si="7"/>
        <v>340789</v>
      </c>
    </row>
    <row r="455" spans="1:6" x14ac:dyDescent="0.35">
      <c r="A455" s="9" t="s">
        <v>1157</v>
      </c>
      <c r="B455" s="9" t="s">
        <v>691</v>
      </c>
      <c r="C455" s="9" t="s">
        <v>692</v>
      </c>
      <c r="D455" s="10">
        <v>12</v>
      </c>
      <c r="E455" s="11" t="s">
        <v>693</v>
      </c>
      <c r="F455">
        <f t="shared" si="7"/>
        <v>341453</v>
      </c>
    </row>
    <row r="456" spans="1:6" x14ac:dyDescent="0.35">
      <c r="A456" s="9" t="s">
        <v>1158</v>
      </c>
      <c r="B456" s="9" t="s">
        <v>691</v>
      </c>
      <c r="C456" s="9" t="s">
        <v>692</v>
      </c>
      <c r="D456" s="10">
        <v>35</v>
      </c>
      <c r="E456" s="11" t="s">
        <v>693</v>
      </c>
      <c r="F456">
        <f t="shared" si="7"/>
        <v>341497</v>
      </c>
    </row>
    <row r="457" spans="1:6" x14ac:dyDescent="0.35">
      <c r="A457" s="9" t="s">
        <v>1159</v>
      </c>
      <c r="B457" s="9" t="s">
        <v>691</v>
      </c>
      <c r="C457" s="9" t="s">
        <v>692</v>
      </c>
      <c r="D457" s="10">
        <v>90</v>
      </c>
      <c r="E457" s="11" t="s">
        <v>693</v>
      </c>
      <c r="F457">
        <f t="shared" si="7"/>
        <v>341505</v>
      </c>
    </row>
    <row r="458" spans="1:6" x14ac:dyDescent="0.35">
      <c r="A458" s="9" t="s">
        <v>1160</v>
      </c>
      <c r="B458" s="9" t="s">
        <v>699</v>
      </c>
      <c r="C458" s="9" t="s">
        <v>700</v>
      </c>
      <c r="D458" s="10">
        <v>54</v>
      </c>
      <c r="E458" s="11" t="s">
        <v>693</v>
      </c>
      <c r="F458">
        <f t="shared" si="7"/>
        <v>341516</v>
      </c>
    </row>
    <row r="459" spans="1:6" x14ac:dyDescent="0.35">
      <c r="A459" s="9" t="s">
        <v>1161</v>
      </c>
      <c r="B459" s="9" t="s">
        <v>720</v>
      </c>
      <c r="C459" s="9" t="s">
        <v>721</v>
      </c>
      <c r="D459" s="10">
        <v>38.5</v>
      </c>
      <c r="E459" s="11" t="s">
        <v>693</v>
      </c>
      <c r="F459">
        <f t="shared" si="7"/>
        <v>341913</v>
      </c>
    </row>
    <row r="460" spans="1:6" x14ac:dyDescent="0.35">
      <c r="A460" s="9" t="s">
        <v>1162</v>
      </c>
      <c r="B460" s="9" t="s">
        <v>691</v>
      </c>
      <c r="C460" s="9" t="s">
        <v>697</v>
      </c>
      <c r="D460" s="10">
        <v>12</v>
      </c>
      <c r="E460" s="11" t="s">
        <v>693</v>
      </c>
      <c r="F460">
        <f t="shared" si="7"/>
        <v>341914</v>
      </c>
    </row>
    <row r="461" spans="1:6" x14ac:dyDescent="0.35">
      <c r="A461" s="9" t="s">
        <v>1163</v>
      </c>
      <c r="B461" s="9" t="s">
        <v>699</v>
      </c>
      <c r="C461" s="9" t="s">
        <v>700</v>
      </c>
      <c r="D461" s="10">
        <v>32</v>
      </c>
      <c r="E461" s="11" t="s">
        <v>693</v>
      </c>
      <c r="F461">
        <f t="shared" si="7"/>
        <v>342091</v>
      </c>
    </row>
    <row r="462" spans="1:6" x14ac:dyDescent="0.35">
      <c r="A462" s="9" t="s">
        <v>1164</v>
      </c>
      <c r="B462" s="9" t="s">
        <v>699</v>
      </c>
      <c r="C462" s="9" t="s">
        <v>702</v>
      </c>
      <c r="D462" s="10">
        <v>73.5</v>
      </c>
      <c r="E462" s="11" t="s">
        <v>693</v>
      </c>
      <c r="F462">
        <f t="shared" si="7"/>
        <v>342102</v>
      </c>
    </row>
    <row r="463" spans="1:6" x14ac:dyDescent="0.35">
      <c r="A463" s="9" t="s">
        <v>1165</v>
      </c>
      <c r="B463" s="9" t="s">
        <v>699</v>
      </c>
      <c r="C463" s="9" t="s">
        <v>700</v>
      </c>
      <c r="D463" s="10">
        <v>41.5</v>
      </c>
      <c r="E463" s="11" t="s">
        <v>693</v>
      </c>
      <c r="F463">
        <f t="shared" si="7"/>
        <v>342786</v>
      </c>
    </row>
    <row r="464" spans="1:6" x14ac:dyDescent="0.35">
      <c r="A464" s="9" t="s">
        <v>1166</v>
      </c>
      <c r="B464" s="9" t="s">
        <v>691</v>
      </c>
      <c r="C464" s="9" t="s">
        <v>728</v>
      </c>
      <c r="D464" s="10">
        <v>30</v>
      </c>
      <c r="E464" s="11" t="s">
        <v>693</v>
      </c>
      <c r="F464">
        <f t="shared" si="7"/>
        <v>342794</v>
      </c>
    </row>
    <row r="465" spans="1:6" x14ac:dyDescent="0.35">
      <c r="A465" s="9" t="s">
        <v>1167</v>
      </c>
      <c r="B465" s="9" t="s">
        <v>699</v>
      </c>
      <c r="C465" s="9" t="s">
        <v>709</v>
      </c>
      <c r="D465" s="10">
        <v>13</v>
      </c>
      <c r="E465" s="11" t="s">
        <v>693</v>
      </c>
      <c r="F465">
        <f t="shared" si="7"/>
        <v>343267</v>
      </c>
    </row>
    <row r="466" spans="1:6" x14ac:dyDescent="0.35">
      <c r="A466" s="9" t="s">
        <v>1168</v>
      </c>
      <c r="B466" s="9" t="s">
        <v>720</v>
      </c>
      <c r="C466" s="9" t="s">
        <v>725</v>
      </c>
      <c r="D466" s="10">
        <v>35</v>
      </c>
      <c r="E466" s="11" t="s">
        <v>693</v>
      </c>
      <c r="F466">
        <f t="shared" si="7"/>
        <v>343452</v>
      </c>
    </row>
    <row r="467" spans="1:6" x14ac:dyDescent="0.35">
      <c r="A467" s="9" t="s">
        <v>1169</v>
      </c>
      <c r="B467" s="9" t="s">
        <v>720</v>
      </c>
      <c r="C467" s="9" t="s">
        <v>721</v>
      </c>
      <c r="D467" s="10">
        <v>25.5</v>
      </c>
      <c r="E467" s="11" t="s">
        <v>693</v>
      </c>
      <c r="F467">
        <f t="shared" si="7"/>
        <v>343514</v>
      </c>
    </row>
    <row r="468" spans="1:6" x14ac:dyDescent="0.35">
      <c r="A468" s="9" t="s">
        <v>1170</v>
      </c>
      <c r="B468" s="9" t="s">
        <v>720</v>
      </c>
      <c r="C468" s="9" t="s">
        <v>721</v>
      </c>
      <c r="D468" s="10">
        <v>55</v>
      </c>
      <c r="E468" s="11" t="s">
        <v>693</v>
      </c>
      <c r="F468">
        <f t="shared" si="7"/>
        <v>343520</v>
      </c>
    </row>
    <row r="469" spans="1:6" x14ac:dyDescent="0.35">
      <c r="A469" s="9" t="s">
        <v>1171</v>
      </c>
      <c r="B469" s="9" t="s">
        <v>691</v>
      </c>
      <c r="C469" s="9" t="s">
        <v>733</v>
      </c>
      <c r="D469" s="10">
        <v>8.5</v>
      </c>
      <c r="E469" s="11" t="s">
        <v>693</v>
      </c>
      <c r="F469">
        <f t="shared" si="7"/>
        <v>343574</v>
      </c>
    </row>
    <row r="470" spans="1:6" x14ac:dyDescent="0.35">
      <c r="A470" s="9" t="s">
        <v>1172</v>
      </c>
      <c r="B470" s="9" t="s">
        <v>699</v>
      </c>
      <c r="C470" s="9" t="s">
        <v>709</v>
      </c>
      <c r="D470" s="10">
        <v>51</v>
      </c>
      <c r="E470" s="11" t="s">
        <v>693</v>
      </c>
      <c r="F470">
        <f t="shared" si="7"/>
        <v>344146</v>
      </c>
    </row>
    <row r="471" spans="1:6" x14ac:dyDescent="0.35">
      <c r="A471" s="9" t="s">
        <v>1173</v>
      </c>
      <c r="B471" s="9" t="s">
        <v>699</v>
      </c>
      <c r="C471" s="9" t="s">
        <v>702</v>
      </c>
      <c r="D471" s="10">
        <v>18</v>
      </c>
      <c r="E471" s="11" t="s">
        <v>693</v>
      </c>
      <c r="F471">
        <f t="shared" si="7"/>
        <v>344153</v>
      </c>
    </row>
    <row r="472" spans="1:6" x14ac:dyDescent="0.35">
      <c r="A472" s="9" t="s">
        <v>1174</v>
      </c>
      <c r="B472" s="9" t="s">
        <v>720</v>
      </c>
      <c r="C472" s="9" t="s">
        <v>721</v>
      </c>
      <c r="D472" s="10">
        <v>63</v>
      </c>
      <c r="E472" s="11" t="s">
        <v>693</v>
      </c>
      <c r="F472">
        <f t="shared" si="7"/>
        <v>344184</v>
      </c>
    </row>
    <row r="473" spans="1:6" x14ac:dyDescent="0.35">
      <c r="A473" s="9" t="s">
        <v>1175</v>
      </c>
      <c r="B473" s="9" t="s">
        <v>720</v>
      </c>
      <c r="C473" s="9" t="s">
        <v>725</v>
      </c>
      <c r="D473" s="10">
        <v>30</v>
      </c>
      <c r="E473" s="11" t="s">
        <v>693</v>
      </c>
      <c r="F473">
        <f t="shared" si="7"/>
        <v>344195</v>
      </c>
    </row>
    <row r="474" spans="1:6" x14ac:dyDescent="0.35">
      <c r="A474" s="9" t="s">
        <v>1176</v>
      </c>
      <c r="B474" s="9" t="s">
        <v>691</v>
      </c>
      <c r="C474" s="9" t="s">
        <v>728</v>
      </c>
      <c r="D474" s="10">
        <v>31</v>
      </c>
      <c r="E474" s="11" t="s">
        <v>693</v>
      </c>
      <c r="F474">
        <f t="shared" si="7"/>
        <v>344894</v>
      </c>
    </row>
    <row r="475" spans="1:6" x14ac:dyDescent="0.35">
      <c r="A475" s="9" t="s">
        <v>1177</v>
      </c>
      <c r="B475" s="9" t="s">
        <v>699</v>
      </c>
      <c r="C475" s="9" t="s">
        <v>700</v>
      </c>
      <c r="D475" s="10">
        <v>39</v>
      </c>
      <c r="E475" s="11" t="s">
        <v>693</v>
      </c>
      <c r="F475">
        <f t="shared" si="7"/>
        <v>344908</v>
      </c>
    </row>
    <row r="476" spans="1:6" x14ac:dyDescent="0.35">
      <c r="A476" s="9" t="s">
        <v>1178</v>
      </c>
      <c r="B476" s="9" t="s">
        <v>720</v>
      </c>
      <c r="C476" s="9" t="s">
        <v>725</v>
      </c>
      <c r="D476" s="10">
        <v>35</v>
      </c>
      <c r="E476" s="11" t="s">
        <v>693</v>
      </c>
      <c r="F476">
        <f t="shared" si="7"/>
        <v>344909</v>
      </c>
    </row>
    <row r="477" spans="1:6" x14ac:dyDescent="0.35">
      <c r="A477" s="9" t="s">
        <v>1179</v>
      </c>
      <c r="B477" s="9" t="s">
        <v>720</v>
      </c>
      <c r="C477" s="9" t="s">
        <v>721</v>
      </c>
      <c r="D477" s="10">
        <v>12</v>
      </c>
      <c r="E477" s="11" t="s">
        <v>693</v>
      </c>
      <c r="F477">
        <f t="shared" si="7"/>
        <v>344916</v>
      </c>
    </row>
    <row r="478" spans="1:6" x14ac:dyDescent="0.35">
      <c r="A478" s="9" t="s">
        <v>1180</v>
      </c>
      <c r="B478" s="9" t="s">
        <v>691</v>
      </c>
      <c r="C478" s="9" t="s">
        <v>728</v>
      </c>
      <c r="D478" s="10">
        <v>18</v>
      </c>
      <c r="E478" s="11" t="s">
        <v>693</v>
      </c>
      <c r="F478">
        <f t="shared" si="7"/>
        <v>344917</v>
      </c>
    </row>
    <row r="479" spans="1:6" x14ac:dyDescent="0.35">
      <c r="A479" s="9" t="s">
        <v>1181</v>
      </c>
      <c r="B479" s="9" t="s">
        <v>720</v>
      </c>
      <c r="C479" s="9" t="s">
        <v>725</v>
      </c>
      <c r="D479" s="10">
        <v>25</v>
      </c>
      <c r="E479" s="11" t="s">
        <v>693</v>
      </c>
      <c r="F479">
        <f t="shared" si="7"/>
        <v>344981</v>
      </c>
    </row>
    <row r="480" spans="1:6" x14ac:dyDescent="0.35">
      <c r="A480" s="9" t="s">
        <v>1182</v>
      </c>
      <c r="B480" s="9" t="s">
        <v>691</v>
      </c>
      <c r="C480" s="9" t="s">
        <v>697</v>
      </c>
      <c r="D480" s="10">
        <v>18</v>
      </c>
      <c r="E480" s="11" t="s">
        <v>693</v>
      </c>
      <c r="F480">
        <f t="shared" si="7"/>
        <v>344982</v>
      </c>
    </row>
    <row r="481" spans="1:6" x14ac:dyDescent="0.35">
      <c r="A481" s="9" t="s">
        <v>1183</v>
      </c>
      <c r="B481" s="9" t="s">
        <v>691</v>
      </c>
      <c r="C481" s="9" t="s">
        <v>692</v>
      </c>
      <c r="D481" s="10">
        <v>30</v>
      </c>
      <c r="E481" s="11" t="s">
        <v>693</v>
      </c>
      <c r="F481">
        <f t="shared" si="7"/>
        <v>345565</v>
      </c>
    </row>
    <row r="482" spans="1:6" x14ac:dyDescent="0.35">
      <c r="A482" s="9" t="s">
        <v>1184</v>
      </c>
      <c r="B482" s="9" t="s">
        <v>699</v>
      </c>
      <c r="C482" s="9" t="s">
        <v>709</v>
      </c>
      <c r="D482" s="10">
        <v>19</v>
      </c>
      <c r="E482" s="11" t="s">
        <v>693</v>
      </c>
      <c r="F482">
        <f t="shared" si="7"/>
        <v>345608</v>
      </c>
    </row>
    <row r="483" spans="1:6" x14ac:dyDescent="0.35">
      <c r="A483" s="9" t="s">
        <v>1185</v>
      </c>
      <c r="B483" s="9" t="s">
        <v>691</v>
      </c>
      <c r="C483" s="9" t="s">
        <v>733</v>
      </c>
      <c r="D483" s="10">
        <v>34</v>
      </c>
      <c r="E483" s="11" t="s">
        <v>693</v>
      </c>
      <c r="F483">
        <f t="shared" si="7"/>
        <v>345609</v>
      </c>
    </row>
    <row r="484" spans="1:6" x14ac:dyDescent="0.35">
      <c r="A484" s="9" t="s">
        <v>1186</v>
      </c>
      <c r="B484" s="9" t="s">
        <v>699</v>
      </c>
      <c r="C484" s="9" t="s">
        <v>702</v>
      </c>
      <c r="D484" s="10">
        <v>12</v>
      </c>
      <c r="E484" s="11" t="s">
        <v>693</v>
      </c>
      <c r="F484">
        <f t="shared" si="7"/>
        <v>345611</v>
      </c>
    </row>
    <row r="485" spans="1:6" x14ac:dyDescent="0.35">
      <c r="A485" s="9" t="s">
        <v>1187</v>
      </c>
      <c r="B485" s="9" t="s">
        <v>691</v>
      </c>
      <c r="C485" s="9" t="s">
        <v>692</v>
      </c>
      <c r="D485" s="10">
        <v>80</v>
      </c>
      <c r="E485" s="11" t="s">
        <v>693</v>
      </c>
      <c r="F485">
        <f t="shared" si="7"/>
        <v>345693</v>
      </c>
    </row>
    <row r="486" spans="1:6" x14ac:dyDescent="0.35">
      <c r="A486" s="9" t="s">
        <v>1188</v>
      </c>
      <c r="B486" s="9" t="s">
        <v>720</v>
      </c>
      <c r="C486" s="9" t="s">
        <v>721</v>
      </c>
      <c r="D486" s="10">
        <v>3</v>
      </c>
      <c r="E486" s="11" t="s">
        <v>693</v>
      </c>
      <c r="F486">
        <f t="shared" si="7"/>
        <v>345706</v>
      </c>
    </row>
    <row r="487" spans="1:6" x14ac:dyDescent="0.35">
      <c r="A487" s="9" t="s">
        <v>1189</v>
      </c>
      <c r="B487" s="9" t="s">
        <v>691</v>
      </c>
      <c r="C487" s="9" t="s">
        <v>728</v>
      </c>
      <c r="D487" s="10">
        <v>20</v>
      </c>
      <c r="E487" s="11" t="s">
        <v>693</v>
      </c>
      <c r="F487">
        <f t="shared" si="7"/>
        <v>346336</v>
      </c>
    </row>
    <row r="488" spans="1:6" x14ac:dyDescent="0.35">
      <c r="A488" s="9" t="s">
        <v>1190</v>
      </c>
      <c r="B488" s="9" t="s">
        <v>691</v>
      </c>
      <c r="C488" s="9" t="s">
        <v>728</v>
      </c>
      <c r="D488" s="10">
        <v>25</v>
      </c>
      <c r="E488" s="11" t="s">
        <v>693</v>
      </c>
      <c r="F488">
        <f t="shared" si="7"/>
        <v>346362</v>
      </c>
    </row>
    <row r="489" spans="1:6" x14ac:dyDescent="0.35">
      <c r="A489" s="9" t="s">
        <v>1191</v>
      </c>
      <c r="B489" s="9" t="s">
        <v>699</v>
      </c>
      <c r="C489" s="9" t="s">
        <v>700</v>
      </c>
      <c r="D489" s="10">
        <v>33.5</v>
      </c>
      <c r="E489" s="11" t="s">
        <v>693</v>
      </c>
      <c r="F489">
        <f t="shared" si="7"/>
        <v>346363</v>
      </c>
    </row>
    <row r="490" spans="1:6" x14ac:dyDescent="0.35">
      <c r="A490" s="9" t="s">
        <v>1192</v>
      </c>
      <c r="B490" s="9" t="s">
        <v>691</v>
      </c>
      <c r="C490" s="9" t="s">
        <v>740</v>
      </c>
      <c r="D490" s="10">
        <v>145</v>
      </c>
      <c r="E490" s="11" t="s">
        <v>693</v>
      </c>
      <c r="F490">
        <f t="shared" si="7"/>
        <v>346369</v>
      </c>
    </row>
    <row r="491" spans="1:6" x14ac:dyDescent="0.35">
      <c r="A491" s="9" t="s">
        <v>1193</v>
      </c>
      <c r="B491" s="9" t="s">
        <v>720</v>
      </c>
      <c r="C491" s="9" t="s">
        <v>721</v>
      </c>
      <c r="D491" s="10">
        <v>87.5</v>
      </c>
      <c r="E491" s="11" t="s">
        <v>693</v>
      </c>
      <c r="F491">
        <f t="shared" si="7"/>
        <v>346397</v>
      </c>
    </row>
    <row r="492" spans="1:6" x14ac:dyDescent="0.35">
      <c r="A492" s="9" t="s">
        <v>1194</v>
      </c>
      <c r="B492" s="9" t="s">
        <v>691</v>
      </c>
      <c r="C492" s="9" t="s">
        <v>692</v>
      </c>
      <c r="D492" s="10">
        <v>30</v>
      </c>
      <c r="E492" s="11" t="s">
        <v>693</v>
      </c>
      <c r="F492">
        <f t="shared" si="7"/>
        <v>346399</v>
      </c>
    </row>
    <row r="493" spans="1:6" x14ac:dyDescent="0.35">
      <c r="A493" s="9" t="s">
        <v>1195</v>
      </c>
      <c r="B493" s="9" t="s">
        <v>691</v>
      </c>
      <c r="C493" s="9" t="s">
        <v>733</v>
      </c>
      <c r="D493" s="10">
        <v>80</v>
      </c>
      <c r="E493" s="11" t="s">
        <v>693</v>
      </c>
      <c r="F493">
        <f t="shared" si="7"/>
        <v>346403</v>
      </c>
    </row>
    <row r="494" spans="1:6" x14ac:dyDescent="0.35">
      <c r="A494" s="9" t="s">
        <v>1196</v>
      </c>
      <c r="B494" s="9" t="s">
        <v>699</v>
      </c>
      <c r="C494" s="9" t="s">
        <v>700</v>
      </c>
      <c r="D494" s="10">
        <v>12</v>
      </c>
      <c r="E494" s="11" t="s">
        <v>693</v>
      </c>
      <c r="F494">
        <f t="shared" si="7"/>
        <v>347071</v>
      </c>
    </row>
    <row r="495" spans="1:6" x14ac:dyDescent="0.35">
      <c r="A495" s="9" t="s">
        <v>1197</v>
      </c>
      <c r="B495" s="9" t="s">
        <v>699</v>
      </c>
      <c r="C495" s="9" t="s">
        <v>702</v>
      </c>
      <c r="D495" s="10">
        <v>28</v>
      </c>
      <c r="E495" s="11" t="s">
        <v>693</v>
      </c>
      <c r="F495">
        <f t="shared" si="7"/>
        <v>347361</v>
      </c>
    </row>
    <row r="496" spans="1:6" x14ac:dyDescent="0.35">
      <c r="A496" s="9" t="s">
        <v>1198</v>
      </c>
      <c r="B496" s="9" t="s">
        <v>691</v>
      </c>
      <c r="C496" s="9" t="s">
        <v>733</v>
      </c>
      <c r="D496" s="10">
        <v>20</v>
      </c>
      <c r="E496" s="11" t="s">
        <v>693</v>
      </c>
      <c r="F496">
        <f t="shared" si="7"/>
        <v>347366</v>
      </c>
    </row>
    <row r="497" spans="1:6" x14ac:dyDescent="0.35">
      <c r="A497" s="9" t="s">
        <v>1199</v>
      </c>
      <c r="B497" s="9" t="s">
        <v>699</v>
      </c>
      <c r="C497" s="9" t="s">
        <v>702</v>
      </c>
      <c r="D497" s="10">
        <v>26</v>
      </c>
      <c r="E497" s="11" t="s">
        <v>693</v>
      </c>
      <c r="F497">
        <f t="shared" si="7"/>
        <v>347370</v>
      </c>
    </row>
    <row r="498" spans="1:6" x14ac:dyDescent="0.35">
      <c r="A498" s="9" t="s">
        <v>1200</v>
      </c>
      <c r="B498" s="9" t="s">
        <v>720</v>
      </c>
      <c r="C498" s="9" t="s">
        <v>725</v>
      </c>
      <c r="D498" s="10">
        <v>5</v>
      </c>
      <c r="E498" s="11" t="s">
        <v>693</v>
      </c>
      <c r="F498">
        <f t="shared" si="7"/>
        <v>347382</v>
      </c>
    </row>
    <row r="499" spans="1:6" x14ac:dyDescent="0.35">
      <c r="A499" s="9" t="s">
        <v>1201</v>
      </c>
      <c r="B499" s="9" t="s">
        <v>691</v>
      </c>
      <c r="C499" s="9" t="s">
        <v>728</v>
      </c>
      <c r="D499" s="10">
        <v>19.5</v>
      </c>
      <c r="E499" s="11" t="s">
        <v>693</v>
      </c>
      <c r="F499">
        <f t="shared" si="7"/>
        <v>347383</v>
      </c>
    </row>
    <row r="500" spans="1:6" x14ac:dyDescent="0.35">
      <c r="A500" s="9" t="s">
        <v>1202</v>
      </c>
      <c r="B500" s="9" t="s">
        <v>691</v>
      </c>
      <c r="C500" s="9" t="s">
        <v>692</v>
      </c>
      <c r="D500" s="10">
        <v>30</v>
      </c>
      <c r="E500" s="11" t="s">
        <v>693</v>
      </c>
      <c r="F500">
        <f t="shared" si="7"/>
        <v>347461</v>
      </c>
    </row>
    <row r="501" spans="1:6" x14ac:dyDescent="0.35">
      <c r="A501" s="9" t="s">
        <v>1203</v>
      </c>
      <c r="B501" s="9" t="s">
        <v>691</v>
      </c>
      <c r="C501" s="9" t="s">
        <v>733</v>
      </c>
      <c r="D501" s="10">
        <v>18</v>
      </c>
      <c r="E501" s="11" t="s">
        <v>693</v>
      </c>
      <c r="F501">
        <f t="shared" si="7"/>
        <v>347490</v>
      </c>
    </row>
    <row r="502" spans="1:6" x14ac:dyDescent="0.35">
      <c r="A502" s="9" t="s">
        <v>1204</v>
      </c>
      <c r="B502" s="9" t="s">
        <v>691</v>
      </c>
      <c r="C502" s="9" t="s">
        <v>695</v>
      </c>
      <c r="D502" s="10">
        <v>276.5</v>
      </c>
      <c r="E502" s="11" t="s">
        <v>693</v>
      </c>
      <c r="F502">
        <f t="shared" si="7"/>
        <v>347513</v>
      </c>
    </row>
    <row r="503" spans="1:6" x14ac:dyDescent="0.35">
      <c r="A503" s="9" t="s">
        <v>1205</v>
      </c>
      <c r="B503" s="9" t="s">
        <v>699</v>
      </c>
      <c r="C503" s="9" t="s">
        <v>709</v>
      </c>
      <c r="D503" s="10">
        <v>20</v>
      </c>
      <c r="E503" s="11" t="s">
        <v>693</v>
      </c>
      <c r="F503">
        <f t="shared" si="7"/>
        <v>347526</v>
      </c>
    </row>
    <row r="504" spans="1:6" x14ac:dyDescent="0.35">
      <c r="A504" s="9" t="s">
        <v>1206</v>
      </c>
      <c r="B504" s="9" t="s">
        <v>691</v>
      </c>
      <c r="C504" s="9" t="s">
        <v>733</v>
      </c>
      <c r="D504" s="10">
        <v>39</v>
      </c>
      <c r="E504" s="11" t="s">
        <v>693</v>
      </c>
      <c r="F504">
        <f t="shared" si="7"/>
        <v>348211</v>
      </c>
    </row>
    <row r="505" spans="1:6" x14ac:dyDescent="0.35">
      <c r="A505" s="9" t="s">
        <v>1207</v>
      </c>
      <c r="B505" s="9" t="s">
        <v>699</v>
      </c>
      <c r="C505" s="9" t="s">
        <v>700</v>
      </c>
      <c r="D505" s="10">
        <v>40.5</v>
      </c>
      <c r="E505" s="11" t="s">
        <v>693</v>
      </c>
      <c r="F505">
        <f t="shared" si="7"/>
        <v>348890</v>
      </c>
    </row>
    <row r="506" spans="1:6" x14ac:dyDescent="0.35">
      <c r="A506" s="9" t="s">
        <v>1208</v>
      </c>
      <c r="B506" s="9" t="s">
        <v>691</v>
      </c>
      <c r="C506" s="9" t="s">
        <v>692</v>
      </c>
      <c r="D506" s="10">
        <v>20</v>
      </c>
      <c r="E506" s="11" t="s">
        <v>693</v>
      </c>
      <c r="F506">
        <f t="shared" si="7"/>
        <v>349731</v>
      </c>
    </row>
    <row r="507" spans="1:6" x14ac:dyDescent="0.35">
      <c r="A507" s="9" t="s">
        <v>1209</v>
      </c>
      <c r="B507" s="9" t="s">
        <v>691</v>
      </c>
      <c r="C507" s="9" t="s">
        <v>733</v>
      </c>
      <c r="D507" s="10">
        <v>18</v>
      </c>
      <c r="E507" s="11" t="s">
        <v>693</v>
      </c>
      <c r="F507">
        <f t="shared" si="7"/>
        <v>350292</v>
      </c>
    </row>
    <row r="508" spans="1:6" x14ac:dyDescent="0.35">
      <c r="A508" s="9" t="s">
        <v>1210</v>
      </c>
      <c r="B508" s="9" t="s">
        <v>691</v>
      </c>
      <c r="C508" s="9" t="s">
        <v>728</v>
      </c>
      <c r="D508" s="10">
        <v>3</v>
      </c>
      <c r="E508" s="11" t="s">
        <v>693</v>
      </c>
      <c r="F508">
        <f t="shared" si="7"/>
        <v>350836</v>
      </c>
    </row>
    <row r="509" spans="1:6" x14ac:dyDescent="0.35">
      <c r="A509" s="9" t="s">
        <v>1211</v>
      </c>
      <c r="B509" s="9" t="s">
        <v>699</v>
      </c>
      <c r="C509" s="9" t="s">
        <v>700</v>
      </c>
      <c r="D509" s="10">
        <v>46</v>
      </c>
      <c r="E509" s="11" t="s">
        <v>693</v>
      </c>
      <c r="F509">
        <f t="shared" si="7"/>
        <v>351541</v>
      </c>
    </row>
    <row r="510" spans="1:6" x14ac:dyDescent="0.35">
      <c r="A510" s="9" t="s">
        <v>1212</v>
      </c>
      <c r="B510" s="9" t="s">
        <v>720</v>
      </c>
      <c r="C510" s="9" t="s">
        <v>725</v>
      </c>
      <c r="D510" s="10">
        <v>10</v>
      </c>
      <c r="E510" s="11" t="s">
        <v>693</v>
      </c>
      <c r="F510">
        <f t="shared" si="7"/>
        <v>352085</v>
      </c>
    </row>
    <row r="511" spans="1:6" x14ac:dyDescent="0.35">
      <c r="A511" s="9" t="s">
        <v>1213</v>
      </c>
      <c r="B511" s="9" t="s">
        <v>691</v>
      </c>
      <c r="C511" s="9" t="s">
        <v>733</v>
      </c>
      <c r="D511" s="10">
        <v>9</v>
      </c>
      <c r="E511" s="11" t="s">
        <v>693</v>
      </c>
      <c r="F511">
        <f t="shared" si="7"/>
        <v>352692</v>
      </c>
    </row>
    <row r="512" spans="1:6" x14ac:dyDescent="0.35">
      <c r="A512" s="9" t="s">
        <v>1214</v>
      </c>
      <c r="B512" s="9" t="s">
        <v>699</v>
      </c>
      <c r="C512" s="9" t="s">
        <v>700</v>
      </c>
      <c r="D512" s="10">
        <v>41</v>
      </c>
      <c r="E512" s="11" t="s">
        <v>693</v>
      </c>
      <c r="F512">
        <f t="shared" si="7"/>
        <v>352873</v>
      </c>
    </row>
    <row r="513" spans="1:6" x14ac:dyDescent="0.35">
      <c r="A513" s="9" t="s">
        <v>1215</v>
      </c>
      <c r="B513" s="9" t="s">
        <v>720</v>
      </c>
      <c r="C513" s="9" t="s">
        <v>721</v>
      </c>
      <c r="D513" s="10">
        <v>69.5</v>
      </c>
      <c r="E513" s="11" t="s">
        <v>693</v>
      </c>
      <c r="F513">
        <f t="shared" si="7"/>
        <v>353015</v>
      </c>
    </row>
    <row r="514" spans="1:6" x14ac:dyDescent="0.35">
      <c r="A514" s="9" t="s">
        <v>1216</v>
      </c>
      <c r="B514" s="9" t="s">
        <v>699</v>
      </c>
      <c r="C514" s="9" t="s">
        <v>702</v>
      </c>
      <c r="D514" s="10">
        <v>44.5</v>
      </c>
      <c r="E514" s="11" t="s">
        <v>693</v>
      </c>
      <c r="F514">
        <f t="shared" si="7"/>
        <v>353751</v>
      </c>
    </row>
    <row r="515" spans="1:6" x14ac:dyDescent="0.35">
      <c r="A515" s="9" t="s">
        <v>1217</v>
      </c>
      <c r="B515" s="9" t="s">
        <v>691</v>
      </c>
      <c r="C515" s="9" t="s">
        <v>733</v>
      </c>
      <c r="D515" s="10">
        <v>12</v>
      </c>
      <c r="E515" s="11" t="s">
        <v>693</v>
      </c>
      <c r="F515">
        <f t="shared" ref="F515:F578" si="8">VALUE(LEFT(A515,FIND(" ",A515)-1))</f>
        <v>354113</v>
      </c>
    </row>
    <row r="516" spans="1:6" x14ac:dyDescent="0.35">
      <c r="A516" s="9" t="s">
        <v>1218</v>
      </c>
      <c r="B516" s="9" t="s">
        <v>699</v>
      </c>
      <c r="C516" s="9" t="s">
        <v>709</v>
      </c>
      <c r="D516" s="10">
        <v>25.5</v>
      </c>
      <c r="E516" s="11" t="s">
        <v>693</v>
      </c>
      <c r="F516">
        <f t="shared" si="8"/>
        <v>354271</v>
      </c>
    </row>
    <row r="517" spans="1:6" x14ac:dyDescent="0.35">
      <c r="A517" s="9" t="s">
        <v>1219</v>
      </c>
      <c r="B517" s="9" t="s">
        <v>691</v>
      </c>
      <c r="C517" s="9" t="s">
        <v>692</v>
      </c>
      <c r="D517" s="10">
        <v>10.5</v>
      </c>
      <c r="E517" s="11" t="s">
        <v>693</v>
      </c>
      <c r="F517">
        <f t="shared" si="8"/>
        <v>354292</v>
      </c>
    </row>
    <row r="518" spans="1:6" x14ac:dyDescent="0.35">
      <c r="A518" s="9" t="s">
        <v>1220</v>
      </c>
      <c r="B518" s="9" t="s">
        <v>691</v>
      </c>
      <c r="C518" s="9" t="s">
        <v>692</v>
      </c>
      <c r="D518" s="10">
        <v>24</v>
      </c>
      <c r="E518" s="11" t="s">
        <v>693</v>
      </c>
      <c r="F518">
        <f t="shared" si="8"/>
        <v>354309</v>
      </c>
    </row>
    <row r="519" spans="1:6" x14ac:dyDescent="0.35">
      <c r="A519" s="9" t="s">
        <v>1221</v>
      </c>
      <c r="B519" s="9" t="s">
        <v>720</v>
      </c>
      <c r="C519" s="9" t="s">
        <v>725</v>
      </c>
      <c r="D519" s="10">
        <v>6</v>
      </c>
      <c r="E519" s="11" t="s">
        <v>693</v>
      </c>
      <c r="F519">
        <f t="shared" si="8"/>
        <v>354344</v>
      </c>
    </row>
    <row r="520" spans="1:6" x14ac:dyDescent="0.35">
      <c r="A520" s="9" t="s">
        <v>1222</v>
      </c>
      <c r="B520" s="9" t="s">
        <v>699</v>
      </c>
      <c r="C520" s="9" t="s">
        <v>700</v>
      </c>
      <c r="D520" s="10">
        <v>15</v>
      </c>
      <c r="E520" s="11" t="s">
        <v>693</v>
      </c>
      <c r="F520">
        <f t="shared" si="8"/>
        <v>354443</v>
      </c>
    </row>
    <row r="521" spans="1:6" x14ac:dyDescent="0.35">
      <c r="A521" s="9" t="s">
        <v>1223</v>
      </c>
      <c r="B521" s="9" t="s">
        <v>699</v>
      </c>
      <c r="C521" s="9" t="s">
        <v>709</v>
      </c>
      <c r="D521" s="10">
        <v>18</v>
      </c>
      <c r="E521" s="11" t="s">
        <v>693</v>
      </c>
      <c r="F521">
        <f t="shared" si="8"/>
        <v>354967</v>
      </c>
    </row>
    <row r="522" spans="1:6" x14ac:dyDescent="0.35">
      <c r="A522" s="9" t="s">
        <v>1224</v>
      </c>
      <c r="B522" s="9" t="s">
        <v>691</v>
      </c>
      <c r="C522" s="9" t="s">
        <v>740</v>
      </c>
      <c r="D522" s="10">
        <v>3</v>
      </c>
      <c r="E522" s="11" t="s">
        <v>693</v>
      </c>
      <c r="F522">
        <f t="shared" si="8"/>
        <v>355347</v>
      </c>
    </row>
    <row r="523" spans="1:6" x14ac:dyDescent="0.35">
      <c r="A523" s="9" t="s">
        <v>1225</v>
      </c>
      <c r="B523" s="9" t="s">
        <v>691</v>
      </c>
      <c r="C523" s="9" t="s">
        <v>728</v>
      </c>
      <c r="D523" s="10">
        <v>15</v>
      </c>
      <c r="E523" s="11" t="s">
        <v>693</v>
      </c>
      <c r="F523">
        <f t="shared" si="8"/>
        <v>355348</v>
      </c>
    </row>
    <row r="524" spans="1:6" x14ac:dyDescent="0.35">
      <c r="A524" s="9" t="s">
        <v>1226</v>
      </c>
      <c r="B524" s="9" t="s">
        <v>691</v>
      </c>
      <c r="C524" s="9" t="s">
        <v>733</v>
      </c>
      <c r="D524" s="10">
        <v>15</v>
      </c>
      <c r="E524" s="11" t="s">
        <v>693</v>
      </c>
      <c r="F524">
        <f t="shared" si="8"/>
        <v>355384</v>
      </c>
    </row>
    <row r="525" spans="1:6" x14ac:dyDescent="0.35">
      <c r="A525" s="9" t="s">
        <v>1227</v>
      </c>
      <c r="B525" s="9" t="s">
        <v>720</v>
      </c>
      <c r="C525" s="9" t="s">
        <v>721</v>
      </c>
      <c r="D525" s="10">
        <v>15</v>
      </c>
      <c r="E525" s="11" t="s">
        <v>693</v>
      </c>
      <c r="F525">
        <f t="shared" si="8"/>
        <v>355582</v>
      </c>
    </row>
    <row r="526" spans="1:6" x14ac:dyDescent="0.35">
      <c r="A526" s="9" t="s">
        <v>1228</v>
      </c>
      <c r="B526" s="9" t="s">
        <v>699</v>
      </c>
      <c r="C526" s="9" t="s">
        <v>709</v>
      </c>
      <c r="D526" s="10">
        <v>19</v>
      </c>
      <c r="E526" s="11" t="s">
        <v>693</v>
      </c>
      <c r="F526">
        <f t="shared" si="8"/>
        <v>356386</v>
      </c>
    </row>
    <row r="527" spans="1:6" x14ac:dyDescent="0.35">
      <c r="A527" s="9" t="s">
        <v>1229</v>
      </c>
      <c r="B527" s="9" t="s">
        <v>691</v>
      </c>
      <c r="C527" s="9" t="s">
        <v>692</v>
      </c>
      <c r="D527" s="10">
        <v>28</v>
      </c>
      <c r="E527" s="11" t="s">
        <v>693</v>
      </c>
      <c r="F527">
        <f t="shared" si="8"/>
        <v>356680</v>
      </c>
    </row>
    <row r="528" spans="1:6" x14ac:dyDescent="0.35">
      <c r="A528" s="9" t="s">
        <v>1230</v>
      </c>
      <c r="B528" s="9" t="s">
        <v>720</v>
      </c>
      <c r="C528" s="9" t="s">
        <v>725</v>
      </c>
      <c r="D528" s="10">
        <v>45</v>
      </c>
      <c r="E528" s="11" t="s">
        <v>693</v>
      </c>
      <c r="F528">
        <f t="shared" si="8"/>
        <v>356681</v>
      </c>
    </row>
    <row r="529" spans="1:6" x14ac:dyDescent="0.35">
      <c r="A529" s="9" t="s">
        <v>1231</v>
      </c>
      <c r="B529" s="9" t="s">
        <v>699</v>
      </c>
      <c r="C529" s="9" t="s">
        <v>702</v>
      </c>
      <c r="D529" s="10">
        <v>35</v>
      </c>
      <c r="E529" s="11" t="s">
        <v>693</v>
      </c>
      <c r="F529">
        <f t="shared" si="8"/>
        <v>358164</v>
      </c>
    </row>
    <row r="530" spans="1:6" x14ac:dyDescent="0.35">
      <c r="A530" s="9" t="s">
        <v>1232</v>
      </c>
      <c r="B530" s="9" t="s">
        <v>691</v>
      </c>
      <c r="C530" s="9" t="s">
        <v>697</v>
      </c>
      <c r="D530" s="10">
        <v>3</v>
      </c>
      <c r="E530" s="11" t="s">
        <v>693</v>
      </c>
      <c r="F530">
        <f t="shared" si="8"/>
        <v>359225</v>
      </c>
    </row>
    <row r="531" spans="1:6" x14ac:dyDescent="0.35">
      <c r="A531" s="9" t="s">
        <v>1233</v>
      </c>
      <c r="B531" s="9" t="s">
        <v>691</v>
      </c>
      <c r="C531" s="9" t="s">
        <v>733</v>
      </c>
      <c r="D531" s="10">
        <v>3</v>
      </c>
      <c r="E531" s="11" t="s">
        <v>693</v>
      </c>
      <c r="F531">
        <f t="shared" si="8"/>
        <v>359445</v>
      </c>
    </row>
    <row r="532" spans="1:6" x14ac:dyDescent="0.35">
      <c r="A532" s="9" t="s">
        <v>1234</v>
      </c>
      <c r="B532" s="9" t="s">
        <v>691</v>
      </c>
      <c r="C532" s="9" t="s">
        <v>728</v>
      </c>
      <c r="D532" s="10">
        <v>37</v>
      </c>
      <c r="E532" s="11" t="s">
        <v>693</v>
      </c>
      <c r="F532">
        <f t="shared" si="8"/>
        <v>360731</v>
      </c>
    </row>
    <row r="533" spans="1:6" x14ac:dyDescent="0.35">
      <c r="A533" s="9" t="s">
        <v>1235</v>
      </c>
      <c r="B533" s="9" t="s">
        <v>691</v>
      </c>
      <c r="C533" s="9" t="s">
        <v>697</v>
      </c>
      <c r="D533" s="10">
        <v>100</v>
      </c>
      <c r="E533" s="11" t="s">
        <v>693</v>
      </c>
      <c r="F533">
        <f t="shared" si="8"/>
        <v>361682</v>
      </c>
    </row>
    <row r="534" spans="1:6" x14ac:dyDescent="0.35">
      <c r="A534" s="9" t="s">
        <v>1236</v>
      </c>
      <c r="B534" s="9" t="s">
        <v>699</v>
      </c>
      <c r="C534" s="9" t="s">
        <v>709</v>
      </c>
      <c r="D534" s="10">
        <v>21.5</v>
      </c>
      <c r="E534" s="11" t="s">
        <v>693</v>
      </c>
      <c r="F534">
        <f t="shared" si="8"/>
        <v>362531</v>
      </c>
    </row>
    <row r="535" spans="1:6" x14ac:dyDescent="0.35">
      <c r="A535" s="9" t="s">
        <v>1237</v>
      </c>
      <c r="B535" s="9" t="s">
        <v>720</v>
      </c>
      <c r="C535" s="9" t="s">
        <v>721</v>
      </c>
      <c r="D535" s="10">
        <v>18</v>
      </c>
      <c r="E535" s="11" t="s">
        <v>693</v>
      </c>
      <c r="F535">
        <f t="shared" si="8"/>
        <v>362532</v>
      </c>
    </row>
    <row r="536" spans="1:6" x14ac:dyDescent="0.35">
      <c r="A536" s="9" t="s">
        <v>1238</v>
      </c>
      <c r="B536" s="9" t="s">
        <v>720</v>
      </c>
      <c r="C536" s="9" t="s">
        <v>725</v>
      </c>
      <c r="D536" s="10">
        <v>28</v>
      </c>
      <c r="E536" s="11" t="s">
        <v>693</v>
      </c>
      <c r="F536">
        <f t="shared" si="8"/>
        <v>363282</v>
      </c>
    </row>
    <row r="537" spans="1:6" x14ac:dyDescent="0.35">
      <c r="A537" s="9" t="s">
        <v>1239</v>
      </c>
      <c r="B537" s="9" t="s">
        <v>720</v>
      </c>
      <c r="C537" s="9" t="s">
        <v>725</v>
      </c>
      <c r="D537" s="10">
        <v>54</v>
      </c>
      <c r="E537" s="11" t="s">
        <v>693</v>
      </c>
      <c r="F537">
        <f t="shared" si="8"/>
        <v>363424</v>
      </c>
    </row>
    <row r="538" spans="1:6" x14ac:dyDescent="0.35">
      <c r="A538" s="9" t="s">
        <v>1240</v>
      </c>
      <c r="B538" s="9" t="s">
        <v>691</v>
      </c>
      <c r="C538" s="9" t="s">
        <v>728</v>
      </c>
      <c r="D538" s="10">
        <v>15</v>
      </c>
      <c r="E538" s="11" t="s">
        <v>693</v>
      </c>
      <c r="F538">
        <f t="shared" si="8"/>
        <v>367894</v>
      </c>
    </row>
    <row r="539" spans="1:6" x14ac:dyDescent="0.35">
      <c r="A539" s="9" t="s">
        <v>1241</v>
      </c>
      <c r="B539" s="9" t="s">
        <v>699</v>
      </c>
      <c r="C539" s="9" t="s">
        <v>700</v>
      </c>
      <c r="D539" s="10">
        <v>3</v>
      </c>
      <c r="E539" s="11" t="s">
        <v>693</v>
      </c>
      <c r="F539">
        <f t="shared" si="8"/>
        <v>368608</v>
      </c>
    </row>
    <row r="540" spans="1:6" x14ac:dyDescent="0.35">
      <c r="A540" s="9" t="s">
        <v>1242</v>
      </c>
      <c r="B540" s="9" t="s">
        <v>699</v>
      </c>
      <c r="C540" s="9" t="s">
        <v>709</v>
      </c>
      <c r="D540" s="10">
        <v>73.5</v>
      </c>
      <c r="E540" s="11" t="s">
        <v>693</v>
      </c>
      <c r="F540">
        <f t="shared" si="8"/>
        <v>369441</v>
      </c>
    </row>
    <row r="541" spans="1:6" x14ac:dyDescent="0.35">
      <c r="A541" s="9" t="s">
        <v>1243</v>
      </c>
      <c r="B541" s="9" t="s">
        <v>720</v>
      </c>
      <c r="C541" s="9" t="s">
        <v>725</v>
      </c>
      <c r="D541" s="10">
        <v>54</v>
      </c>
      <c r="E541" s="11" t="s">
        <v>693</v>
      </c>
      <c r="F541">
        <f t="shared" si="8"/>
        <v>369442</v>
      </c>
    </row>
    <row r="542" spans="1:6" x14ac:dyDescent="0.35">
      <c r="A542" s="9" t="s">
        <v>1244</v>
      </c>
      <c r="B542" s="9" t="s">
        <v>720</v>
      </c>
      <c r="C542" s="9" t="s">
        <v>725</v>
      </c>
      <c r="D542" s="10">
        <v>20</v>
      </c>
      <c r="E542" s="11" t="s">
        <v>693</v>
      </c>
      <c r="F542">
        <f t="shared" si="8"/>
        <v>369443</v>
      </c>
    </row>
    <row r="543" spans="1:6" x14ac:dyDescent="0.35">
      <c r="A543" s="9" t="s">
        <v>1245</v>
      </c>
      <c r="B543" s="9" t="s">
        <v>720</v>
      </c>
      <c r="C543" s="9" t="s">
        <v>725</v>
      </c>
      <c r="D543" s="10">
        <v>25</v>
      </c>
      <c r="E543" s="11" t="s">
        <v>693</v>
      </c>
      <c r="F543">
        <f t="shared" si="8"/>
        <v>370143</v>
      </c>
    </row>
    <row r="544" spans="1:6" x14ac:dyDescent="0.35">
      <c r="A544" s="9" t="s">
        <v>1246</v>
      </c>
      <c r="B544" s="9" t="s">
        <v>720</v>
      </c>
      <c r="C544" s="9" t="s">
        <v>725</v>
      </c>
      <c r="D544" s="10">
        <v>6</v>
      </c>
      <c r="E544" s="11" t="s">
        <v>693</v>
      </c>
      <c r="F544">
        <f t="shared" si="8"/>
        <v>371006</v>
      </c>
    </row>
    <row r="545" spans="1:6" x14ac:dyDescent="0.35">
      <c r="A545" s="9" t="s">
        <v>1247</v>
      </c>
      <c r="B545" s="9" t="s">
        <v>699</v>
      </c>
      <c r="C545" s="9" t="s">
        <v>700</v>
      </c>
      <c r="D545" s="10">
        <v>27</v>
      </c>
      <c r="E545" s="11" t="s">
        <v>693</v>
      </c>
      <c r="F545">
        <f t="shared" si="8"/>
        <v>371055</v>
      </c>
    </row>
    <row r="546" spans="1:6" x14ac:dyDescent="0.35">
      <c r="A546" s="9" t="s">
        <v>1248</v>
      </c>
      <c r="B546" s="9" t="s">
        <v>720</v>
      </c>
      <c r="C546" s="9" t="s">
        <v>725</v>
      </c>
      <c r="D546" s="10">
        <v>45.5</v>
      </c>
      <c r="E546" s="11" t="s">
        <v>693</v>
      </c>
      <c r="F546">
        <f t="shared" si="8"/>
        <v>371924</v>
      </c>
    </row>
    <row r="547" spans="1:6" x14ac:dyDescent="0.35">
      <c r="A547" s="9" t="s">
        <v>1249</v>
      </c>
      <c r="B547" s="9" t="s">
        <v>691</v>
      </c>
      <c r="C547" s="9" t="s">
        <v>692</v>
      </c>
      <c r="D547" s="10">
        <v>35</v>
      </c>
      <c r="E547" s="11" t="s">
        <v>693</v>
      </c>
      <c r="F547">
        <f t="shared" si="8"/>
        <v>372701</v>
      </c>
    </row>
    <row r="548" spans="1:6" x14ac:dyDescent="0.35">
      <c r="A548" s="9" t="s">
        <v>1250</v>
      </c>
      <c r="B548" s="9" t="s">
        <v>691</v>
      </c>
      <c r="C548" s="9" t="s">
        <v>692</v>
      </c>
      <c r="D548" s="10">
        <v>26</v>
      </c>
      <c r="E548" s="11" t="s">
        <v>693</v>
      </c>
      <c r="F548">
        <f t="shared" si="8"/>
        <v>372702</v>
      </c>
    </row>
    <row r="549" spans="1:6" x14ac:dyDescent="0.35">
      <c r="A549" s="9" t="s">
        <v>1251</v>
      </c>
      <c r="B549" s="9" t="s">
        <v>699</v>
      </c>
      <c r="C549" s="9" t="s">
        <v>709</v>
      </c>
      <c r="D549" s="10">
        <v>32.5</v>
      </c>
      <c r="E549" s="11" t="s">
        <v>693</v>
      </c>
      <c r="F549">
        <f t="shared" si="8"/>
        <v>372758</v>
      </c>
    </row>
    <row r="550" spans="1:6" x14ac:dyDescent="0.35">
      <c r="A550" s="9" t="s">
        <v>1252</v>
      </c>
      <c r="B550" s="9" t="s">
        <v>699</v>
      </c>
      <c r="C550" s="9" t="s">
        <v>709</v>
      </c>
      <c r="D550" s="10">
        <v>31</v>
      </c>
      <c r="E550" s="11" t="s">
        <v>693</v>
      </c>
      <c r="F550">
        <f t="shared" si="8"/>
        <v>373799</v>
      </c>
    </row>
    <row r="551" spans="1:6" x14ac:dyDescent="0.35">
      <c r="A551" s="9" t="s">
        <v>1253</v>
      </c>
      <c r="B551" s="9" t="s">
        <v>720</v>
      </c>
      <c r="C551" s="9" t="s">
        <v>721</v>
      </c>
      <c r="D551" s="10">
        <v>66.5</v>
      </c>
      <c r="E551" s="11" t="s">
        <v>693</v>
      </c>
      <c r="F551">
        <f t="shared" si="8"/>
        <v>373800</v>
      </c>
    </row>
    <row r="552" spans="1:6" x14ac:dyDescent="0.35">
      <c r="A552" s="9" t="s">
        <v>1254</v>
      </c>
      <c r="B552" s="9" t="s">
        <v>691</v>
      </c>
      <c r="C552" s="9" t="s">
        <v>740</v>
      </c>
      <c r="D552" s="10">
        <v>15</v>
      </c>
      <c r="E552" s="11" t="s">
        <v>693</v>
      </c>
      <c r="F552">
        <f t="shared" si="8"/>
        <v>373914</v>
      </c>
    </row>
    <row r="553" spans="1:6" x14ac:dyDescent="0.35">
      <c r="A553" s="9" t="s">
        <v>1255</v>
      </c>
      <c r="B553" s="9" t="s">
        <v>691</v>
      </c>
      <c r="C553" s="9" t="s">
        <v>695</v>
      </c>
      <c r="D553" s="10">
        <v>114</v>
      </c>
      <c r="E553" s="11" t="s">
        <v>693</v>
      </c>
      <c r="F553">
        <f t="shared" si="8"/>
        <v>374090</v>
      </c>
    </row>
    <row r="554" spans="1:6" x14ac:dyDescent="0.35">
      <c r="A554" s="9" t="s">
        <v>1256</v>
      </c>
      <c r="B554" s="9" t="s">
        <v>720</v>
      </c>
      <c r="C554" s="9" t="s">
        <v>725</v>
      </c>
      <c r="D554" s="10">
        <v>24.5</v>
      </c>
      <c r="E554" s="11" t="s">
        <v>693</v>
      </c>
      <c r="F554">
        <f t="shared" si="8"/>
        <v>374921</v>
      </c>
    </row>
    <row r="555" spans="1:6" x14ac:dyDescent="0.35">
      <c r="A555" s="9" t="s">
        <v>1257</v>
      </c>
      <c r="B555" s="9" t="s">
        <v>720</v>
      </c>
      <c r="C555" s="9" t="s">
        <v>725</v>
      </c>
      <c r="D555" s="10">
        <v>40</v>
      </c>
      <c r="E555" s="11" t="s">
        <v>693</v>
      </c>
      <c r="F555">
        <f t="shared" si="8"/>
        <v>374922</v>
      </c>
    </row>
    <row r="556" spans="1:6" x14ac:dyDescent="0.35">
      <c r="A556" s="9" t="s">
        <v>1258</v>
      </c>
      <c r="B556" s="9" t="s">
        <v>691</v>
      </c>
      <c r="C556" s="9" t="s">
        <v>733</v>
      </c>
      <c r="D556" s="10">
        <v>24</v>
      </c>
      <c r="E556" s="11" t="s">
        <v>693</v>
      </c>
      <c r="F556">
        <f t="shared" si="8"/>
        <v>375065</v>
      </c>
    </row>
    <row r="557" spans="1:6" x14ac:dyDescent="0.35">
      <c r="A557" s="9" t="s">
        <v>1259</v>
      </c>
      <c r="B557" s="9" t="s">
        <v>691</v>
      </c>
      <c r="C557" s="9" t="s">
        <v>733</v>
      </c>
      <c r="D557" s="10">
        <v>46</v>
      </c>
      <c r="E557" s="11" t="s">
        <v>693</v>
      </c>
      <c r="F557">
        <f t="shared" si="8"/>
        <v>376895</v>
      </c>
    </row>
    <row r="558" spans="1:6" x14ac:dyDescent="0.35">
      <c r="A558" s="9" t="s">
        <v>1260</v>
      </c>
      <c r="B558" s="9" t="s">
        <v>699</v>
      </c>
      <c r="C558" s="9" t="s">
        <v>709</v>
      </c>
      <c r="D558" s="10">
        <v>21.5</v>
      </c>
      <c r="E558" s="11" t="s">
        <v>693</v>
      </c>
      <c r="F558">
        <f t="shared" si="8"/>
        <v>378372</v>
      </c>
    </row>
    <row r="559" spans="1:6" x14ac:dyDescent="0.35">
      <c r="A559" s="9" t="s">
        <v>1261</v>
      </c>
      <c r="B559" s="9" t="s">
        <v>691</v>
      </c>
      <c r="C559" s="9" t="s">
        <v>692</v>
      </c>
      <c r="D559" s="10">
        <v>30</v>
      </c>
      <c r="E559" s="11" t="s">
        <v>693</v>
      </c>
      <c r="F559">
        <f t="shared" si="8"/>
        <v>378572</v>
      </c>
    </row>
    <row r="560" spans="1:6" x14ac:dyDescent="0.35">
      <c r="A560" s="9" t="s">
        <v>1262</v>
      </c>
      <c r="B560" s="9" t="s">
        <v>691</v>
      </c>
      <c r="C560" s="9" t="s">
        <v>728</v>
      </c>
      <c r="D560" s="10">
        <v>48</v>
      </c>
      <c r="E560" s="11" t="s">
        <v>693</v>
      </c>
      <c r="F560">
        <f t="shared" si="8"/>
        <v>378576</v>
      </c>
    </row>
    <row r="561" spans="1:6" x14ac:dyDescent="0.35">
      <c r="A561" s="9" t="s">
        <v>1263</v>
      </c>
      <c r="B561" s="9" t="s">
        <v>691</v>
      </c>
      <c r="C561" s="9" t="s">
        <v>692</v>
      </c>
      <c r="D561" s="10">
        <v>21</v>
      </c>
      <c r="E561" s="11" t="s">
        <v>693</v>
      </c>
      <c r="F561">
        <f t="shared" si="8"/>
        <v>378597</v>
      </c>
    </row>
    <row r="562" spans="1:6" x14ac:dyDescent="0.35">
      <c r="A562" s="9" t="s">
        <v>1264</v>
      </c>
      <c r="B562" s="9" t="s">
        <v>691</v>
      </c>
      <c r="C562" s="9" t="s">
        <v>692</v>
      </c>
      <c r="D562" s="10">
        <v>4</v>
      </c>
      <c r="E562" s="11" t="s">
        <v>693</v>
      </c>
      <c r="F562">
        <f t="shared" si="8"/>
        <v>378598</v>
      </c>
    </row>
    <row r="563" spans="1:6" x14ac:dyDescent="0.35">
      <c r="A563" s="9" t="s">
        <v>1265</v>
      </c>
      <c r="B563" s="9" t="s">
        <v>720</v>
      </c>
      <c r="C563" s="9" t="s">
        <v>721</v>
      </c>
      <c r="D563" s="10">
        <v>9</v>
      </c>
      <c r="E563" s="11" t="s">
        <v>693</v>
      </c>
      <c r="F563">
        <f t="shared" si="8"/>
        <v>378599</v>
      </c>
    </row>
    <row r="564" spans="1:6" x14ac:dyDescent="0.35">
      <c r="A564" s="9" t="s">
        <v>1266</v>
      </c>
      <c r="B564" s="9" t="s">
        <v>699</v>
      </c>
      <c r="C564" s="9" t="s">
        <v>700</v>
      </c>
      <c r="D564" s="10">
        <v>50</v>
      </c>
      <c r="E564" s="11" t="s">
        <v>693</v>
      </c>
      <c r="F564">
        <f t="shared" si="8"/>
        <v>378776</v>
      </c>
    </row>
    <row r="565" spans="1:6" x14ac:dyDescent="0.35">
      <c r="A565" s="9" t="s">
        <v>1267</v>
      </c>
      <c r="B565" s="9" t="s">
        <v>691</v>
      </c>
      <c r="C565" s="9" t="s">
        <v>695</v>
      </c>
      <c r="D565" s="10">
        <v>218.5</v>
      </c>
      <c r="E565" s="11" t="s">
        <v>693</v>
      </c>
      <c r="F565">
        <f t="shared" si="8"/>
        <v>379084</v>
      </c>
    </row>
    <row r="566" spans="1:6" x14ac:dyDescent="0.35">
      <c r="A566" s="9" t="s">
        <v>1269</v>
      </c>
      <c r="B566" s="9" t="s">
        <v>691</v>
      </c>
      <c r="C566" s="9" t="s">
        <v>733</v>
      </c>
      <c r="D566" s="10">
        <v>69</v>
      </c>
      <c r="E566" s="11" t="s">
        <v>693</v>
      </c>
      <c r="F566">
        <f t="shared" si="8"/>
        <v>379606</v>
      </c>
    </row>
    <row r="567" spans="1:6" x14ac:dyDescent="0.35">
      <c r="A567" s="9" t="s">
        <v>1270</v>
      </c>
      <c r="B567" s="9" t="s">
        <v>691</v>
      </c>
      <c r="C567" s="9" t="s">
        <v>733</v>
      </c>
      <c r="D567" s="10">
        <v>32</v>
      </c>
      <c r="E567" s="11" t="s">
        <v>693</v>
      </c>
      <c r="F567">
        <f t="shared" si="8"/>
        <v>379686</v>
      </c>
    </row>
    <row r="568" spans="1:6" x14ac:dyDescent="0.35">
      <c r="A568" s="9" t="s">
        <v>1271</v>
      </c>
      <c r="B568" s="9" t="s">
        <v>691</v>
      </c>
      <c r="C568" s="9" t="s">
        <v>733</v>
      </c>
      <c r="D568" s="10">
        <v>16</v>
      </c>
      <c r="E568" s="11" t="s">
        <v>693</v>
      </c>
      <c r="F568">
        <f t="shared" si="8"/>
        <v>380366</v>
      </c>
    </row>
    <row r="569" spans="1:6" x14ac:dyDescent="0.35">
      <c r="A569" s="9" t="s">
        <v>1272</v>
      </c>
      <c r="B569" s="9" t="s">
        <v>699</v>
      </c>
      <c r="C569" s="9" t="s">
        <v>709</v>
      </c>
      <c r="D569" s="10">
        <v>3.5</v>
      </c>
      <c r="E569" s="11" t="s">
        <v>693</v>
      </c>
      <c r="F569">
        <f t="shared" si="8"/>
        <v>381116</v>
      </c>
    </row>
    <row r="570" spans="1:6" x14ac:dyDescent="0.35">
      <c r="A570" s="9" t="s">
        <v>1273</v>
      </c>
      <c r="B570" s="9" t="s">
        <v>699</v>
      </c>
      <c r="C570" s="9" t="s">
        <v>702</v>
      </c>
      <c r="D570" s="10">
        <v>17</v>
      </c>
      <c r="E570" s="11" t="s">
        <v>693</v>
      </c>
      <c r="F570">
        <f t="shared" si="8"/>
        <v>381186</v>
      </c>
    </row>
    <row r="571" spans="1:6" x14ac:dyDescent="0.35">
      <c r="A571" s="9" t="s">
        <v>1274</v>
      </c>
      <c r="B571" s="9" t="s">
        <v>699</v>
      </c>
      <c r="C571" s="9" t="s">
        <v>702</v>
      </c>
      <c r="D571" s="10">
        <v>39</v>
      </c>
      <c r="E571" s="11" t="s">
        <v>693</v>
      </c>
      <c r="F571">
        <f t="shared" si="8"/>
        <v>381798</v>
      </c>
    </row>
    <row r="572" spans="1:6" x14ac:dyDescent="0.35">
      <c r="A572" s="9" t="s">
        <v>1275</v>
      </c>
      <c r="B572" s="9" t="s">
        <v>720</v>
      </c>
      <c r="C572" s="9" t="s">
        <v>725</v>
      </c>
      <c r="D572" s="10">
        <v>22</v>
      </c>
      <c r="E572" s="11" t="s">
        <v>693</v>
      </c>
      <c r="F572">
        <f t="shared" si="8"/>
        <v>381929</v>
      </c>
    </row>
    <row r="573" spans="1:6" x14ac:dyDescent="0.35">
      <c r="A573" s="9" t="s">
        <v>1276</v>
      </c>
      <c r="B573" s="9" t="s">
        <v>720</v>
      </c>
      <c r="C573" s="9" t="s">
        <v>721</v>
      </c>
      <c r="D573" s="10">
        <v>35</v>
      </c>
      <c r="E573" s="11" t="s">
        <v>693</v>
      </c>
      <c r="F573">
        <f t="shared" si="8"/>
        <v>381934</v>
      </c>
    </row>
    <row r="574" spans="1:6" x14ac:dyDescent="0.35">
      <c r="A574" s="9" t="s">
        <v>1309</v>
      </c>
      <c r="B574" s="9" t="s">
        <v>691</v>
      </c>
      <c r="C574" s="9" t="s">
        <v>728</v>
      </c>
      <c r="D574" s="10">
        <v>5</v>
      </c>
      <c r="E574" s="11" t="s">
        <v>693</v>
      </c>
      <c r="F574">
        <f t="shared" si="8"/>
        <v>381984</v>
      </c>
    </row>
    <row r="575" spans="1:6" x14ac:dyDescent="0.35">
      <c r="A575" s="9" t="s">
        <v>1277</v>
      </c>
      <c r="B575" s="9" t="s">
        <v>691</v>
      </c>
      <c r="C575" s="9" t="s">
        <v>740</v>
      </c>
      <c r="D575" s="10">
        <v>51</v>
      </c>
      <c r="E575" s="11" t="s">
        <v>693</v>
      </c>
      <c r="F575">
        <f t="shared" si="8"/>
        <v>382024</v>
      </c>
    </row>
    <row r="576" spans="1:6" x14ac:dyDescent="0.35">
      <c r="A576" s="9" t="s">
        <v>1278</v>
      </c>
      <c r="B576" s="9" t="s">
        <v>699</v>
      </c>
      <c r="C576" s="9" t="s">
        <v>702</v>
      </c>
      <c r="D576" s="10">
        <v>40</v>
      </c>
      <c r="E576" s="11" t="s">
        <v>693</v>
      </c>
      <c r="F576">
        <f t="shared" si="8"/>
        <v>382026</v>
      </c>
    </row>
    <row r="577" spans="1:6" x14ac:dyDescent="0.35">
      <c r="A577" s="9" t="s">
        <v>1279</v>
      </c>
      <c r="B577" s="9" t="s">
        <v>699</v>
      </c>
      <c r="C577" s="9" t="s">
        <v>702</v>
      </c>
      <c r="D577" s="10">
        <v>22.5</v>
      </c>
      <c r="E577" s="11" t="s">
        <v>693</v>
      </c>
      <c r="F577">
        <f t="shared" si="8"/>
        <v>382655</v>
      </c>
    </row>
    <row r="578" spans="1:6" x14ac:dyDescent="0.35">
      <c r="A578" s="9" t="s">
        <v>1280</v>
      </c>
      <c r="B578" s="9" t="s">
        <v>691</v>
      </c>
      <c r="C578" s="9" t="s">
        <v>692</v>
      </c>
      <c r="D578" s="10">
        <v>36</v>
      </c>
      <c r="E578" s="11" t="s">
        <v>693</v>
      </c>
      <c r="F578">
        <f t="shared" si="8"/>
        <v>382656</v>
      </c>
    </row>
    <row r="579" spans="1:6" x14ac:dyDescent="0.35">
      <c r="A579" s="9" t="s">
        <v>1281</v>
      </c>
      <c r="B579" s="9" t="s">
        <v>720</v>
      </c>
      <c r="C579" s="9" t="s">
        <v>721</v>
      </c>
      <c r="D579" s="10">
        <v>16.5</v>
      </c>
      <c r="E579" s="11" t="s">
        <v>693</v>
      </c>
      <c r="F579">
        <f t="shared" ref="F579:F603" si="9">VALUE(LEFT(A579,FIND(" ",A579)-1))</f>
        <v>382748</v>
      </c>
    </row>
    <row r="580" spans="1:6" x14ac:dyDescent="0.35">
      <c r="A580" s="9" t="s">
        <v>1282</v>
      </c>
      <c r="B580" s="9" t="s">
        <v>699</v>
      </c>
      <c r="C580" s="9" t="s">
        <v>700</v>
      </c>
      <c r="D580" s="10">
        <v>7</v>
      </c>
      <c r="E580" s="11" t="s">
        <v>693</v>
      </c>
      <c r="F580">
        <f t="shared" si="9"/>
        <v>383650</v>
      </c>
    </row>
    <row r="581" spans="1:6" x14ac:dyDescent="0.35">
      <c r="A581" s="9" t="s">
        <v>1283</v>
      </c>
      <c r="B581" s="9" t="s">
        <v>691</v>
      </c>
      <c r="C581" s="9" t="s">
        <v>697</v>
      </c>
      <c r="D581" s="10">
        <v>12</v>
      </c>
      <c r="E581" s="11" t="s">
        <v>693</v>
      </c>
      <c r="F581">
        <f t="shared" si="9"/>
        <v>383736</v>
      </c>
    </row>
    <row r="582" spans="1:6" x14ac:dyDescent="0.35">
      <c r="A582" s="9" t="s">
        <v>1284</v>
      </c>
      <c r="B582" s="9" t="s">
        <v>699</v>
      </c>
      <c r="C582" s="9" t="s">
        <v>702</v>
      </c>
      <c r="D582" s="10">
        <v>25</v>
      </c>
      <c r="E582" s="11" t="s">
        <v>693</v>
      </c>
      <c r="F582">
        <f t="shared" si="9"/>
        <v>383737</v>
      </c>
    </row>
    <row r="583" spans="1:6" x14ac:dyDescent="0.35">
      <c r="A583" s="9" t="s">
        <v>1285</v>
      </c>
      <c r="B583" s="9" t="s">
        <v>699</v>
      </c>
      <c r="C583" s="9" t="s">
        <v>702</v>
      </c>
      <c r="D583" s="10">
        <v>43</v>
      </c>
      <c r="E583" s="11" t="s">
        <v>693</v>
      </c>
      <c r="F583">
        <f t="shared" si="9"/>
        <v>383803</v>
      </c>
    </row>
    <row r="584" spans="1:6" x14ac:dyDescent="0.35">
      <c r="A584" s="9" t="s">
        <v>1286</v>
      </c>
      <c r="B584" s="9" t="s">
        <v>699</v>
      </c>
      <c r="C584" s="9" t="s">
        <v>702</v>
      </c>
      <c r="D584" s="10">
        <v>3</v>
      </c>
      <c r="E584" s="11" t="s">
        <v>693</v>
      </c>
      <c r="F584">
        <f t="shared" si="9"/>
        <v>383832</v>
      </c>
    </row>
    <row r="585" spans="1:6" x14ac:dyDescent="0.35">
      <c r="A585" s="9" t="s">
        <v>1287</v>
      </c>
      <c r="B585" s="9" t="s">
        <v>691</v>
      </c>
      <c r="C585" s="9" t="s">
        <v>709</v>
      </c>
      <c r="D585" s="10">
        <v>29.5</v>
      </c>
      <c r="E585" s="11" t="s">
        <v>693</v>
      </c>
      <c r="F585">
        <f t="shared" si="9"/>
        <v>384143</v>
      </c>
    </row>
    <row r="586" spans="1:6" x14ac:dyDescent="0.35">
      <c r="A586" s="9" t="s">
        <v>1288</v>
      </c>
      <c r="B586" s="9" t="s">
        <v>699</v>
      </c>
      <c r="C586" s="9" t="s">
        <v>709</v>
      </c>
      <c r="D586" s="10">
        <v>7</v>
      </c>
      <c r="E586" s="11" t="s">
        <v>693</v>
      </c>
      <c r="F586">
        <f t="shared" si="9"/>
        <v>384663</v>
      </c>
    </row>
    <row r="587" spans="1:6" x14ac:dyDescent="0.35">
      <c r="A587" s="9" t="s">
        <v>1289</v>
      </c>
      <c r="B587" s="9" t="s">
        <v>691</v>
      </c>
      <c r="C587" s="9" t="s">
        <v>695</v>
      </c>
      <c r="D587" s="10">
        <v>161</v>
      </c>
      <c r="E587" s="11" t="s">
        <v>693</v>
      </c>
      <c r="F587">
        <f t="shared" si="9"/>
        <v>385542</v>
      </c>
    </row>
    <row r="588" spans="1:6" x14ac:dyDescent="0.35">
      <c r="A588" s="9" t="s">
        <v>1290</v>
      </c>
      <c r="B588" s="9" t="s">
        <v>691</v>
      </c>
      <c r="C588" s="9" t="s">
        <v>695</v>
      </c>
      <c r="D588" s="10">
        <v>287</v>
      </c>
      <c r="E588" s="11" t="s">
        <v>693</v>
      </c>
      <c r="F588">
        <f t="shared" si="9"/>
        <v>385803</v>
      </c>
    </row>
    <row r="589" spans="1:6" x14ac:dyDescent="0.35">
      <c r="A589" s="9" t="s">
        <v>1291</v>
      </c>
      <c r="B589" s="9" t="s">
        <v>720</v>
      </c>
      <c r="C589" s="9" t="s">
        <v>721</v>
      </c>
      <c r="D589" s="10">
        <v>18</v>
      </c>
      <c r="E589" s="11" t="s">
        <v>693</v>
      </c>
      <c r="F589">
        <f t="shared" si="9"/>
        <v>385847</v>
      </c>
    </row>
    <row r="590" spans="1:6" x14ac:dyDescent="0.35">
      <c r="A590" s="9" t="s">
        <v>1292</v>
      </c>
      <c r="B590" s="9" t="s">
        <v>699</v>
      </c>
      <c r="C590" s="9" t="s">
        <v>702</v>
      </c>
      <c r="D590" s="10">
        <v>19.5</v>
      </c>
      <c r="E590" s="11" t="s">
        <v>693</v>
      </c>
      <c r="F590">
        <f t="shared" si="9"/>
        <v>385864</v>
      </c>
    </row>
    <row r="591" spans="1:6" x14ac:dyDescent="0.35">
      <c r="A591" s="9" t="s">
        <v>1293</v>
      </c>
      <c r="B591" s="9" t="s">
        <v>691</v>
      </c>
      <c r="C591" s="9" t="s">
        <v>740</v>
      </c>
      <c r="D591" s="10">
        <v>6</v>
      </c>
      <c r="E591" s="11" t="s">
        <v>693</v>
      </c>
      <c r="F591">
        <f t="shared" si="9"/>
        <v>386278</v>
      </c>
    </row>
    <row r="592" spans="1:6" x14ac:dyDescent="0.35">
      <c r="A592" s="9" t="s">
        <v>1294</v>
      </c>
      <c r="B592" s="9" t="s">
        <v>691</v>
      </c>
      <c r="C592" s="9" t="s">
        <v>733</v>
      </c>
      <c r="D592" s="10">
        <v>6</v>
      </c>
      <c r="E592" s="11" t="s">
        <v>693</v>
      </c>
      <c r="F592">
        <f t="shared" si="9"/>
        <v>386380</v>
      </c>
    </row>
    <row r="593" spans="1:6" x14ac:dyDescent="0.35">
      <c r="A593" s="9" t="s">
        <v>1295</v>
      </c>
      <c r="B593" s="9" t="s">
        <v>699</v>
      </c>
      <c r="C593" s="9" t="s">
        <v>700</v>
      </c>
      <c r="D593" s="10">
        <v>36</v>
      </c>
      <c r="E593" s="11" t="s">
        <v>693</v>
      </c>
      <c r="F593">
        <f t="shared" si="9"/>
        <v>386575</v>
      </c>
    </row>
    <row r="594" spans="1:6" x14ac:dyDescent="0.35">
      <c r="A594" s="9" t="s">
        <v>1296</v>
      </c>
      <c r="B594" s="9" t="s">
        <v>720</v>
      </c>
      <c r="C594" s="9" t="s">
        <v>725</v>
      </c>
      <c r="D594" s="10">
        <v>6</v>
      </c>
      <c r="E594" s="11" t="s">
        <v>693</v>
      </c>
      <c r="F594">
        <f t="shared" si="9"/>
        <v>386713</v>
      </c>
    </row>
    <row r="595" spans="1:6" x14ac:dyDescent="0.35">
      <c r="A595" s="9" t="s">
        <v>1297</v>
      </c>
      <c r="B595" s="9" t="s">
        <v>720</v>
      </c>
      <c r="C595" s="9" t="s">
        <v>721</v>
      </c>
      <c r="D595" s="10">
        <v>6</v>
      </c>
      <c r="E595" s="11" t="s">
        <v>693</v>
      </c>
      <c r="F595">
        <f t="shared" si="9"/>
        <v>387659</v>
      </c>
    </row>
    <row r="596" spans="1:6" x14ac:dyDescent="0.35">
      <c r="A596" s="9" t="s">
        <v>1298</v>
      </c>
      <c r="B596" s="9" t="s">
        <v>699</v>
      </c>
      <c r="C596" s="9" t="s">
        <v>702</v>
      </c>
      <c r="D596" s="10">
        <v>15</v>
      </c>
      <c r="E596" s="11" t="s">
        <v>693</v>
      </c>
      <c r="F596">
        <f t="shared" si="9"/>
        <v>387724</v>
      </c>
    </row>
    <row r="597" spans="1:6" x14ac:dyDescent="0.35">
      <c r="A597" s="9" t="s">
        <v>1299</v>
      </c>
      <c r="B597" s="9" t="s">
        <v>699</v>
      </c>
      <c r="C597" s="9" t="s">
        <v>702</v>
      </c>
      <c r="D597" s="10">
        <v>4</v>
      </c>
      <c r="E597" s="11" t="s">
        <v>693</v>
      </c>
      <c r="F597">
        <f t="shared" si="9"/>
        <v>390976</v>
      </c>
    </row>
    <row r="598" spans="1:6" x14ac:dyDescent="0.35">
      <c r="A598" s="9" t="s">
        <v>1300</v>
      </c>
      <c r="B598" s="9" t="s">
        <v>691</v>
      </c>
      <c r="C598" s="9" t="s">
        <v>740</v>
      </c>
      <c r="D598" s="10">
        <v>12</v>
      </c>
      <c r="E598" s="11" t="s">
        <v>693</v>
      </c>
      <c r="F598">
        <f t="shared" si="9"/>
        <v>391466</v>
      </c>
    </row>
    <row r="599" spans="1:6" x14ac:dyDescent="0.35">
      <c r="A599" s="9" t="s">
        <v>1301</v>
      </c>
      <c r="B599" s="9" t="s">
        <v>720</v>
      </c>
      <c r="C599" s="9" t="s">
        <v>725</v>
      </c>
      <c r="D599" s="10">
        <v>21</v>
      </c>
      <c r="E599" s="11" t="s">
        <v>693</v>
      </c>
      <c r="F599">
        <f t="shared" si="9"/>
        <v>392208</v>
      </c>
    </row>
    <row r="600" spans="1:6" x14ac:dyDescent="0.35">
      <c r="A600" s="9" t="s">
        <v>1302</v>
      </c>
      <c r="B600" s="9" t="s">
        <v>699</v>
      </c>
      <c r="C600" s="9" t="s">
        <v>702</v>
      </c>
      <c r="D600" s="10">
        <v>8</v>
      </c>
      <c r="E600" s="11" t="s">
        <v>693</v>
      </c>
      <c r="F600">
        <f t="shared" si="9"/>
        <v>392222</v>
      </c>
    </row>
    <row r="601" spans="1:6" x14ac:dyDescent="0.35">
      <c r="A601" s="9" t="s">
        <v>1303</v>
      </c>
      <c r="B601" s="9" t="s">
        <v>691</v>
      </c>
      <c r="C601" s="9" t="s">
        <v>740</v>
      </c>
      <c r="D601" s="10">
        <v>9</v>
      </c>
      <c r="E601" s="11" t="s">
        <v>693</v>
      </c>
      <c r="F601">
        <f t="shared" si="9"/>
        <v>392301</v>
      </c>
    </row>
    <row r="602" spans="1:6" x14ac:dyDescent="0.35">
      <c r="A602" s="9" t="s">
        <v>1304</v>
      </c>
      <c r="B602" s="9" t="s">
        <v>699</v>
      </c>
      <c r="C602" s="9" t="s">
        <v>700</v>
      </c>
      <c r="D602" s="10">
        <v>11</v>
      </c>
      <c r="E602" s="11" t="s">
        <v>693</v>
      </c>
      <c r="F602">
        <f t="shared" si="9"/>
        <v>393411</v>
      </c>
    </row>
    <row r="603" spans="1:6" x14ac:dyDescent="0.35">
      <c r="A603" s="9" t="s">
        <v>1310</v>
      </c>
      <c r="B603" s="9" t="s">
        <v>691</v>
      </c>
      <c r="C603" s="9" t="s">
        <v>695</v>
      </c>
      <c r="D603" s="10">
        <v>180</v>
      </c>
      <c r="E603" s="11" t="s">
        <v>693</v>
      </c>
      <c r="F603">
        <f t="shared" si="9"/>
        <v>504556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F9DD-C1D3-4B78-8387-B70CE220DA82}">
  <dimension ref="A1:F602"/>
  <sheetViews>
    <sheetView workbookViewId="0">
      <selection activeCell="B35" sqref="B35"/>
    </sheetView>
  </sheetViews>
  <sheetFormatPr defaultRowHeight="14.5" x14ac:dyDescent="0.35"/>
  <cols>
    <col min="1" max="1" width="48" bestFit="1" customWidth="1"/>
    <col min="2" max="2" width="19.453125" bestFit="1" customWidth="1"/>
    <col min="3" max="3" width="23.54296875" bestFit="1" customWidth="1"/>
    <col min="4" max="4" width="7.90625" bestFit="1" customWidth="1"/>
    <col min="5" max="5" width="6.81640625" bestFit="1" customWidth="1"/>
  </cols>
  <sheetData>
    <row r="1" spans="1:6" x14ac:dyDescent="0.35">
      <c r="A1" s="7" t="s">
        <v>686</v>
      </c>
      <c r="B1" s="7" t="s">
        <v>687</v>
      </c>
      <c r="C1" s="7" t="s">
        <v>688</v>
      </c>
      <c r="D1" s="8" t="s">
        <v>689</v>
      </c>
      <c r="E1" s="8" t="s">
        <v>689</v>
      </c>
      <c r="F1" s="12" t="s">
        <v>0</v>
      </c>
    </row>
    <row r="2" spans="1:6" x14ac:dyDescent="0.35">
      <c r="A2" s="9" t="s">
        <v>690</v>
      </c>
      <c r="B2" s="9" t="s">
        <v>691</v>
      </c>
      <c r="C2" s="9" t="s">
        <v>692</v>
      </c>
      <c r="D2" s="10">
        <v>69</v>
      </c>
      <c r="E2" s="11" t="s">
        <v>693</v>
      </c>
      <c r="F2">
        <f>VALUE(LEFT(A2,FIND(" ",A2)-1))</f>
        <v>125725</v>
      </c>
    </row>
    <row r="3" spans="1:6" x14ac:dyDescent="0.35">
      <c r="A3" s="9" t="s">
        <v>694</v>
      </c>
      <c r="B3" s="9" t="s">
        <v>691</v>
      </c>
      <c r="C3" s="9" t="s">
        <v>695</v>
      </c>
      <c r="D3" s="10">
        <v>30</v>
      </c>
      <c r="E3" s="11" t="s">
        <v>693</v>
      </c>
      <c r="F3">
        <f t="shared" ref="F3:F66" si="0">VALUE(LEFT(A3,FIND(" ",A3)-1))</f>
        <v>125834</v>
      </c>
    </row>
    <row r="4" spans="1:6" x14ac:dyDescent="0.35">
      <c r="A4" s="9" t="s">
        <v>696</v>
      </c>
      <c r="B4" s="9" t="s">
        <v>691</v>
      </c>
      <c r="C4" s="9" t="s">
        <v>697</v>
      </c>
      <c r="D4" s="10">
        <v>206.5</v>
      </c>
      <c r="E4" s="11" t="s">
        <v>693</v>
      </c>
      <c r="F4">
        <f t="shared" si="0"/>
        <v>125893</v>
      </c>
    </row>
    <row r="5" spans="1:6" x14ac:dyDescent="0.35">
      <c r="A5" s="9" t="s">
        <v>698</v>
      </c>
      <c r="B5" s="9" t="s">
        <v>699</v>
      </c>
      <c r="C5" s="9" t="s">
        <v>700</v>
      </c>
      <c r="D5" s="10">
        <v>678.5</v>
      </c>
      <c r="E5" s="11" t="s">
        <v>693</v>
      </c>
      <c r="F5">
        <f t="shared" si="0"/>
        <v>126060</v>
      </c>
    </row>
    <row r="6" spans="1:6" x14ac:dyDescent="0.35">
      <c r="A6" s="9" t="s">
        <v>701</v>
      </c>
      <c r="B6" s="9" t="s">
        <v>699</v>
      </c>
      <c r="C6" s="9" t="s">
        <v>702</v>
      </c>
      <c r="D6" s="10">
        <v>80</v>
      </c>
      <c r="E6" s="11" t="s">
        <v>693</v>
      </c>
      <c r="F6">
        <f t="shared" si="0"/>
        <v>126064</v>
      </c>
    </row>
    <row r="7" spans="1:6" x14ac:dyDescent="0.35">
      <c r="A7" s="9" t="s">
        <v>703</v>
      </c>
      <c r="B7" s="9" t="s">
        <v>699</v>
      </c>
      <c r="C7" s="9" t="s">
        <v>700</v>
      </c>
      <c r="D7" s="10">
        <v>147</v>
      </c>
      <c r="E7" s="11" t="s">
        <v>693</v>
      </c>
      <c r="F7">
        <f t="shared" si="0"/>
        <v>126068</v>
      </c>
    </row>
    <row r="8" spans="1:6" x14ac:dyDescent="0.35">
      <c r="A8" s="9" t="s">
        <v>704</v>
      </c>
      <c r="B8" s="9" t="s">
        <v>699</v>
      </c>
      <c r="C8" s="9" t="s">
        <v>700</v>
      </c>
      <c r="D8" s="10">
        <v>135</v>
      </c>
      <c r="E8" s="11" t="s">
        <v>693</v>
      </c>
      <c r="F8">
        <f t="shared" si="0"/>
        <v>126071</v>
      </c>
    </row>
    <row r="9" spans="1:6" x14ac:dyDescent="0.35">
      <c r="A9" s="9" t="s">
        <v>705</v>
      </c>
      <c r="B9" s="9" t="s">
        <v>699</v>
      </c>
      <c r="C9" s="9" t="s">
        <v>700</v>
      </c>
      <c r="D9" s="10">
        <v>200</v>
      </c>
      <c r="E9" s="11" t="s">
        <v>693</v>
      </c>
      <c r="F9">
        <f t="shared" si="0"/>
        <v>126072</v>
      </c>
    </row>
    <row r="10" spans="1:6" x14ac:dyDescent="0.35">
      <c r="A10" s="9" t="s">
        <v>706</v>
      </c>
      <c r="B10" s="9" t="s">
        <v>699</v>
      </c>
      <c r="C10" s="9" t="s">
        <v>700</v>
      </c>
      <c r="D10" s="10">
        <v>305</v>
      </c>
      <c r="E10" s="11" t="s">
        <v>693</v>
      </c>
      <c r="F10">
        <f t="shared" si="0"/>
        <v>126073</v>
      </c>
    </row>
    <row r="11" spans="1:6" x14ac:dyDescent="0.35">
      <c r="A11" s="9" t="s">
        <v>707</v>
      </c>
      <c r="B11" s="9" t="s">
        <v>699</v>
      </c>
      <c r="C11" s="9" t="s">
        <v>700</v>
      </c>
      <c r="D11" s="10">
        <v>90</v>
      </c>
      <c r="E11" s="11" t="s">
        <v>693</v>
      </c>
      <c r="F11">
        <f t="shared" si="0"/>
        <v>126074</v>
      </c>
    </row>
    <row r="12" spans="1:6" x14ac:dyDescent="0.35">
      <c r="A12" s="9" t="s">
        <v>708</v>
      </c>
      <c r="B12" s="9" t="s">
        <v>699</v>
      </c>
      <c r="C12" s="9" t="s">
        <v>709</v>
      </c>
      <c r="D12" s="10">
        <v>18</v>
      </c>
      <c r="E12" s="11" t="s">
        <v>693</v>
      </c>
      <c r="F12">
        <f t="shared" si="0"/>
        <v>126078</v>
      </c>
    </row>
    <row r="13" spans="1:6" x14ac:dyDescent="0.35">
      <c r="A13" s="9" t="s">
        <v>710</v>
      </c>
      <c r="B13" s="9" t="s">
        <v>699</v>
      </c>
      <c r="C13" s="9" t="s">
        <v>700</v>
      </c>
      <c r="D13" s="10">
        <v>80.5</v>
      </c>
      <c r="E13" s="11" t="s">
        <v>693</v>
      </c>
      <c r="F13">
        <f t="shared" si="0"/>
        <v>126081</v>
      </c>
    </row>
    <row r="14" spans="1:6" x14ac:dyDescent="0.35">
      <c r="A14" s="9" t="s">
        <v>711</v>
      </c>
      <c r="B14" s="9" t="s">
        <v>699</v>
      </c>
      <c r="C14" s="9" t="s">
        <v>700</v>
      </c>
      <c r="D14" s="10">
        <v>66.5</v>
      </c>
      <c r="E14" s="11" t="s">
        <v>693</v>
      </c>
      <c r="F14">
        <f t="shared" si="0"/>
        <v>126085</v>
      </c>
    </row>
    <row r="15" spans="1:6" x14ac:dyDescent="0.35">
      <c r="A15" s="9" t="s">
        <v>712</v>
      </c>
      <c r="B15" s="9" t="s">
        <v>699</v>
      </c>
      <c r="C15" s="9" t="s">
        <v>709</v>
      </c>
      <c r="D15" s="10">
        <v>87</v>
      </c>
      <c r="E15" s="11" t="s">
        <v>693</v>
      </c>
      <c r="F15">
        <f t="shared" si="0"/>
        <v>126087</v>
      </c>
    </row>
    <row r="16" spans="1:6" x14ac:dyDescent="0.35">
      <c r="A16" s="9" t="s">
        <v>713</v>
      </c>
      <c r="B16" s="9" t="s">
        <v>699</v>
      </c>
      <c r="C16" s="9" t="s">
        <v>709</v>
      </c>
      <c r="D16" s="10">
        <v>87</v>
      </c>
      <c r="E16" s="11" t="s">
        <v>693</v>
      </c>
      <c r="F16">
        <f t="shared" si="0"/>
        <v>126091</v>
      </c>
    </row>
    <row r="17" spans="1:6" x14ac:dyDescent="0.35">
      <c r="A17" s="9" t="s">
        <v>714</v>
      </c>
      <c r="B17" s="9" t="s">
        <v>699</v>
      </c>
      <c r="C17" s="9" t="s">
        <v>702</v>
      </c>
      <c r="D17" s="10">
        <v>93</v>
      </c>
      <c r="E17" s="11" t="s">
        <v>693</v>
      </c>
      <c r="F17">
        <f t="shared" si="0"/>
        <v>126097</v>
      </c>
    </row>
    <row r="18" spans="1:6" x14ac:dyDescent="0.35">
      <c r="A18" s="9" t="s">
        <v>715</v>
      </c>
      <c r="B18" s="9" t="s">
        <v>699</v>
      </c>
      <c r="C18" s="9" t="s">
        <v>702</v>
      </c>
      <c r="D18" s="10">
        <v>56</v>
      </c>
      <c r="E18" s="11" t="s">
        <v>693</v>
      </c>
      <c r="F18">
        <f t="shared" si="0"/>
        <v>126098</v>
      </c>
    </row>
    <row r="19" spans="1:6" x14ac:dyDescent="0.35">
      <c r="A19" s="9" t="s">
        <v>716</v>
      </c>
      <c r="B19" s="9" t="s">
        <v>699</v>
      </c>
      <c r="C19" s="9" t="s">
        <v>702</v>
      </c>
      <c r="D19" s="10">
        <v>36</v>
      </c>
      <c r="E19" s="11" t="s">
        <v>693</v>
      </c>
      <c r="F19">
        <f t="shared" si="0"/>
        <v>126099</v>
      </c>
    </row>
    <row r="20" spans="1:6" x14ac:dyDescent="0.35">
      <c r="A20" s="9" t="s">
        <v>717</v>
      </c>
      <c r="B20" s="9" t="s">
        <v>699</v>
      </c>
      <c r="C20" s="9" t="s">
        <v>709</v>
      </c>
      <c r="D20" s="10">
        <v>21</v>
      </c>
      <c r="E20" s="11" t="s">
        <v>693</v>
      </c>
      <c r="F20">
        <f t="shared" si="0"/>
        <v>126108</v>
      </c>
    </row>
    <row r="21" spans="1:6" x14ac:dyDescent="0.35">
      <c r="A21" s="9" t="s">
        <v>718</v>
      </c>
      <c r="B21" s="9" t="s">
        <v>699</v>
      </c>
      <c r="C21" s="9" t="s">
        <v>702</v>
      </c>
      <c r="D21" s="10">
        <v>152.5</v>
      </c>
      <c r="E21" s="11" t="s">
        <v>693</v>
      </c>
      <c r="F21">
        <f t="shared" si="0"/>
        <v>126113</v>
      </c>
    </row>
    <row r="22" spans="1:6" x14ac:dyDescent="0.35">
      <c r="A22" s="9" t="s">
        <v>719</v>
      </c>
      <c r="B22" s="9" t="s">
        <v>720</v>
      </c>
      <c r="C22" s="9" t="s">
        <v>721</v>
      </c>
      <c r="D22" s="10">
        <v>73.5</v>
      </c>
      <c r="E22" s="11" t="s">
        <v>693</v>
      </c>
      <c r="F22">
        <f t="shared" si="0"/>
        <v>126133</v>
      </c>
    </row>
    <row r="23" spans="1:6" x14ac:dyDescent="0.35">
      <c r="A23" s="9" t="s">
        <v>722</v>
      </c>
      <c r="B23" s="9" t="s">
        <v>720</v>
      </c>
      <c r="C23" s="9" t="s">
        <v>721</v>
      </c>
      <c r="D23" s="10">
        <v>114.5</v>
      </c>
      <c r="E23" s="11" t="s">
        <v>693</v>
      </c>
      <c r="F23">
        <f t="shared" si="0"/>
        <v>126136</v>
      </c>
    </row>
    <row r="24" spans="1:6" x14ac:dyDescent="0.35">
      <c r="A24" s="9" t="s">
        <v>723</v>
      </c>
      <c r="B24" s="9" t="s">
        <v>720</v>
      </c>
      <c r="C24" s="9" t="s">
        <v>721</v>
      </c>
      <c r="D24" s="10">
        <v>117</v>
      </c>
      <c r="E24" s="11" t="s">
        <v>693</v>
      </c>
      <c r="F24">
        <f t="shared" si="0"/>
        <v>126149</v>
      </c>
    </row>
    <row r="25" spans="1:6" x14ac:dyDescent="0.35">
      <c r="A25" s="9" t="s">
        <v>724</v>
      </c>
      <c r="B25" s="9" t="s">
        <v>720</v>
      </c>
      <c r="C25" s="9" t="s">
        <v>725</v>
      </c>
      <c r="D25" s="10">
        <v>47.5</v>
      </c>
      <c r="E25" s="11" t="s">
        <v>693</v>
      </c>
      <c r="F25">
        <f t="shared" si="0"/>
        <v>126161</v>
      </c>
    </row>
    <row r="26" spans="1:6" x14ac:dyDescent="0.35">
      <c r="A26" s="9" t="s">
        <v>726</v>
      </c>
      <c r="B26" s="9" t="s">
        <v>720</v>
      </c>
      <c r="C26" s="9" t="s">
        <v>721</v>
      </c>
      <c r="D26" s="10">
        <v>99</v>
      </c>
      <c r="E26" s="11" t="s">
        <v>693</v>
      </c>
      <c r="F26">
        <f t="shared" si="0"/>
        <v>126187</v>
      </c>
    </row>
    <row r="27" spans="1:6" x14ac:dyDescent="0.35">
      <c r="A27" s="9" t="s">
        <v>727</v>
      </c>
      <c r="B27" s="9" t="s">
        <v>691</v>
      </c>
      <c r="C27" s="9" t="s">
        <v>728</v>
      </c>
      <c r="D27" s="10">
        <v>101</v>
      </c>
      <c r="E27" s="11" t="s">
        <v>693</v>
      </c>
      <c r="F27">
        <f t="shared" si="0"/>
        <v>126293</v>
      </c>
    </row>
    <row r="28" spans="1:6" x14ac:dyDescent="0.35">
      <c r="A28" s="9" t="s">
        <v>729</v>
      </c>
      <c r="B28" s="9" t="s">
        <v>691</v>
      </c>
      <c r="C28" s="9" t="s">
        <v>695</v>
      </c>
      <c r="D28" s="10">
        <v>41</v>
      </c>
      <c r="E28" s="11" t="s">
        <v>693</v>
      </c>
      <c r="F28">
        <f t="shared" si="0"/>
        <v>126295</v>
      </c>
    </row>
    <row r="29" spans="1:6" x14ac:dyDescent="0.35">
      <c r="A29" s="9" t="s">
        <v>730</v>
      </c>
      <c r="B29" s="9" t="s">
        <v>691</v>
      </c>
      <c r="C29" s="9" t="s">
        <v>695</v>
      </c>
      <c r="D29" s="10">
        <v>149</v>
      </c>
      <c r="E29" s="11" t="s">
        <v>693</v>
      </c>
      <c r="F29">
        <f t="shared" si="0"/>
        <v>126297</v>
      </c>
    </row>
    <row r="30" spans="1:6" x14ac:dyDescent="0.35">
      <c r="A30" s="9" t="s">
        <v>731</v>
      </c>
      <c r="B30" s="9" t="s">
        <v>691</v>
      </c>
      <c r="C30" s="9" t="s">
        <v>692</v>
      </c>
      <c r="D30" s="10">
        <v>235</v>
      </c>
      <c r="E30" s="11" t="s">
        <v>693</v>
      </c>
      <c r="F30">
        <f t="shared" si="0"/>
        <v>126301</v>
      </c>
    </row>
    <row r="31" spans="1:6" x14ac:dyDescent="0.35">
      <c r="A31" s="9" t="s">
        <v>732</v>
      </c>
      <c r="B31" s="9" t="s">
        <v>691</v>
      </c>
      <c r="C31" s="9" t="s">
        <v>733</v>
      </c>
      <c r="D31" s="10">
        <v>60</v>
      </c>
      <c r="E31" s="11" t="s">
        <v>693</v>
      </c>
      <c r="F31">
        <f t="shared" si="0"/>
        <v>126303</v>
      </c>
    </row>
    <row r="32" spans="1:6" x14ac:dyDescent="0.35">
      <c r="A32" s="9" t="s">
        <v>734</v>
      </c>
      <c r="B32" s="9" t="s">
        <v>691</v>
      </c>
      <c r="C32" s="9" t="s">
        <v>695</v>
      </c>
      <c r="D32" s="10">
        <v>45</v>
      </c>
      <c r="E32" s="11" t="s">
        <v>693</v>
      </c>
      <c r="F32">
        <f t="shared" si="0"/>
        <v>126305</v>
      </c>
    </row>
    <row r="33" spans="1:6" x14ac:dyDescent="0.35">
      <c r="A33" s="9" t="s">
        <v>735</v>
      </c>
      <c r="B33" s="9" t="s">
        <v>691</v>
      </c>
      <c r="C33" s="9" t="s">
        <v>728</v>
      </c>
      <c r="D33" s="10">
        <v>60</v>
      </c>
      <c r="E33" s="11" t="s">
        <v>693</v>
      </c>
      <c r="F33">
        <f t="shared" si="0"/>
        <v>126308</v>
      </c>
    </row>
    <row r="34" spans="1:6" x14ac:dyDescent="0.35">
      <c r="A34" s="9" t="s">
        <v>736</v>
      </c>
      <c r="B34" s="9" t="s">
        <v>720</v>
      </c>
      <c r="C34" s="9" t="s">
        <v>721</v>
      </c>
      <c r="D34" s="10">
        <v>215</v>
      </c>
      <c r="E34" s="11" t="s">
        <v>693</v>
      </c>
      <c r="F34">
        <f t="shared" si="0"/>
        <v>126310</v>
      </c>
    </row>
    <row r="35" spans="1:6" x14ac:dyDescent="0.35">
      <c r="A35" s="9" t="s">
        <v>737</v>
      </c>
      <c r="B35" s="9" t="s">
        <v>720</v>
      </c>
      <c r="C35" s="9" t="s">
        <v>725</v>
      </c>
      <c r="D35" s="10">
        <v>213</v>
      </c>
      <c r="E35" s="11" t="s">
        <v>693</v>
      </c>
      <c r="F35">
        <f t="shared" si="0"/>
        <v>126311</v>
      </c>
    </row>
    <row r="36" spans="1:6" x14ac:dyDescent="0.35">
      <c r="A36" s="9" t="s">
        <v>738</v>
      </c>
      <c r="B36" s="9" t="s">
        <v>691</v>
      </c>
      <c r="C36" s="9" t="s">
        <v>728</v>
      </c>
      <c r="D36" s="10">
        <v>51</v>
      </c>
      <c r="E36" s="11" t="s">
        <v>693</v>
      </c>
      <c r="F36">
        <f t="shared" si="0"/>
        <v>126314</v>
      </c>
    </row>
    <row r="37" spans="1:6" x14ac:dyDescent="0.35">
      <c r="A37" s="9" t="s">
        <v>739</v>
      </c>
      <c r="B37" s="9" t="s">
        <v>691</v>
      </c>
      <c r="C37" s="9" t="s">
        <v>740</v>
      </c>
      <c r="D37" s="10">
        <v>135</v>
      </c>
      <c r="E37" s="11" t="s">
        <v>693</v>
      </c>
      <c r="F37">
        <f t="shared" si="0"/>
        <v>126322</v>
      </c>
    </row>
    <row r="38" spans="1:6" x14ac:dyDescent="0.35">
      <c r="A38" s="9" t="s">
        <v>741</v>
      </c>
      <c r="B38" s="9" t="s">
        <v>691</v>
      </c>
      <c r="C38" s="9" t="s">
        <v>733</v>
      </c>
      <c r="D38" s="10">
        <v>148.5</v>
      </c>
      <c r="E38" s="11" t="s">
        <v>693</v>
      </c>
      <c r="F38">
        <f t="shared" si="0"/>
        <v>126325</v>
      </c>
    </row>
    <row r="39" spans="1:6" x14ac:dyDescent="0.35">
      <c r="A39" s="9" t="s">
        <v>742</v>
      </c>
      <c r="B39" s="9" t="s">
        <v>720</v>
      </c>
      <c r="C39" s="9" t="s">
        <v>725</v>
      </c>
      <c r="D39" s="10">
        <v>18</v>
      </c>
      <c r="E39" s="11" t="s">
        <v>693</v>
      </c>
      <c r="F39">
        <f t="shared" si="0"/>
        <v>126326</v>
      </c>
    </row>
    <row r="40" spans="1:6" x14ac:dyDescent="0.35">
      <c r="A40" s="9" t="s">
        <v>743</v>
      </c>
      <c r="B40" s="9" t="s">
        <v>691</v>
      </c>
      <c r="C40" s="9" t="s">
        <v>695</v>
      </c>
      <c r="D40" s="10">
        <v>123</v>
      </c>
      <c r="E40" s="11" t="s">
        <v>693</v>
      </c>
      <c r="F40">
        <f t="shared" si="0"/>
        <v>126328</v>
      </c>
    </row>
    <row r="41" spans="1:6" x14ac:dyDescent="0.35">
      <c r="A41" s="9" t="s">
        <v>744</v>
      </c>
      <c r="B41" s="9" t="s">
        <v>691</v>
      </c>
      <c r="C41" s="9" t="s">
        <v>697</v>
      </c>
      <c r="D41" s="10">
        <v>39</v>
      </c>
      <c r="E41" s="11" t="s">
        <v>693</v>
      </c>
      <c r="F41">
        <f t="shared" si="0"/>
        <v>126329</v>
      </c>
    </row>
    <row r="42" spans="1:6" x14ac:dyDescent="0.35">
      <c r="A42" s="9" t="s">
        <v>745</v>
      </c>
      <c r="B42" s="9" t="s">
        <v>691</v>
      </c>
      <c r="C42" s="9" t="s">
        <v>728</v>
      </c>
      <c r="D42" s="10">
        <v>78</v>
      </c>
      <c r="E42" s="11" t="s">
        <v>693</v>
      </c>
      <c r="F42">
        <f t="shared" si="0"/>
        <v>126332</v>
      </c>
    </row>
    <row r="43" spans="1:6" x14ac:dyDescent="0.35">
      <c r="A43" s="9" t="s">
        <v>746</v>
      </c>
      <c r="B43" s="9" t="s">
        <v>691</v>
      </c>
      <c r="C43" s="9" t="s">
        <v>733</v>
      </c>
      <c r="D43" s="10">
        <v>150</v>
      </c>
      <c r="E43" s="11" t="s">
        <v>693</v>
      </c>
      <c r="F43">
        <f t="shared" si="0"/>
        <v>126335</v>
      </c>
    </row>
    <row r="44" spans="1:6" x14ac:dyDescent="0.35">
      <c r="A44" s="9" t="s">
        <v>747</v>
      </c>
      <c r="B44" s="9" t="s">
        <v>691</v>
      </c>
      <c r="C44" s="9" t="s">
        <v>695</v>
      </c>
      <c r="D44" s="10">
        <v>95</v>
      </c>
      <c r="E44" s="11" t="s">
        <v>693</v>
      </c>
      <c r="F44">
        <f t="shared" si="0"/>
        <v>126336</v>
      </c>
    </row>
    <row r="45" spans="1:6" x14ac:dyDescent="0.35">
      <c r="A45" s="9" t="s">
        <v>748</v>
      </c>
      <c r="B45" s="9" t="s">
        <v>699</v>
      </c>
      <c r="C45" s="9" t="s">
        <v>709</v>
      </c>
      <c r="D45" s="10">
        <v>179</v>
      </c>
      <c r="E45" s="11" t="s">
        <v>693</v>
      </c>
      <c r="F45">
        <f t="shared" si="0"/>
        <v>126337</v>
      </c>
    </row>
    <row r="46" spans="1:6" x14ac:dyDescent="0.35">
      <c r="A46" s="9" t="s">
        <v>749</v>
      </c>
      <c r="B46" s="9" t="s">
        <v>691</v>
      </c>
      <c r="C46" s="9" t="s">
        <v>695</v>
      </c>
      <c r="D46" s="10">
        <v>236</v>
      </c>
      <c r="E46" s="11" t="s">
        <v>693</v>
      </c>
      <c r="F46">
        <f t="shared" si="0"/>
        <v>126338</v>
      </c>
    </row>
    <row r="47" spans="1:6" x14ac:dyDescent="0.35">
      <c r="A47" s="9" t="s">
        <v>750</v>
      </c>
      <c r="B47" s="9" t="s">
        <v>691</v>
      </c>
      <c r="C47" s="9" t="s">
        <v>697</v>
      </c>
      <c r="D47" s="10">
        <v>291</v>
      </c>
      <c r="E47" s="11" t="s">
        <v>693</v>
      </c>
      <c r="F47">
        <f t="shared" si="0"/>
        <v>126339</v>
      </c>
    </row>
    <row r="48" spans="1:6" x14ac:dyDescent="0.35">
      <c r="A48" s="9" t="s">
        <v>751</v>
      </c>
      <c r="B48" s="9" t="s">
        <v>720</v>
      </c>
      <c r="C48" s="9" t="s">
        <v>721</v>
      </c>
      <c r="D48" s="10">
        <v>181.5</v>
      </c>
      <c r="E48" s="11" t="s">
        <v>693</v>
      </c>
      <c r="F48">
        <f t="shared" si="0"/>
        <v>126340</v>
      </c>
    </row>
    <row r="49" spans="1:6" x14ac:dyDescent="0.35">
      <c r="A49" s="9" t="s">
        <v>752</v>
      </c>
      <c r="B49" s="9" t="s">
        <v>720</v>
      </c>
      <c r="C49" s="9" t="s">
        <v>725</v>
      </c>
      <c r="D49" s="10">
        <v>163.5</v>
      </c>
      <c r="E49" s="11" t="s">
        <v>693</v>
      </c>
      <c r="F49">
        <f t="shared" si="0"/>
        <v>126345</v>
      </c>
    </row>
    <row r="50" spans="1:6" x14ac:dyDescent="0.35">
      <c r="A50" s="9" t="s">
        <v>753</v>
      </c>
      <c r="B50" s="9" t="s">
        <v>691</v>
      </c>
      <c r="C50" s="9" t="s">
        <v>695</v>
      </c>
      <c r="D50" s="10">
        <v>120</v>
      </c>
      <c r="E50" s="11" t="s">
        <v>693</v>
      </c>
      <c r="F50">
        <f t="shared" si="0"/>
        <v>126347</v>
      </c>
    </row>
    <row r="51" spans="1:6" x14ac:dyDescent="0.35">
      <c r="A51" s="9" t="s">
        <v>754</v>
      </c>
      <c r="B51" s="9" t="s">
        <v>691</v>
      </c>
      <c r="C51" s="9" t="s">
        <v>733</v>
      </c>
      <c r="D51" s="10">
        <v>90</v>
      </c>
      <c r="E51" s="11" t="s">
        <v>693</v>
      </c>
      <c r="F51">
        <f t="shared" si="0"/>
        <v>126350</v>
      </c>
    </row>
    <row r="52" spans="1:6" x14ac:dyDescent="0.35">
      <c r="A52" s="9" t="s">
        <v>755</v>
      </c>
      <c r="B52" s="9" t="s">
        <v>691</v>
      </c>
      <c r="C52" s="9" t="s">
        <v>740</v>
      </c>
      <c r="D52" s="10">
        <v>88.5</v>
      </c>
      <c r="E52" s="11" t="s">
        <v>693</v>
      </c>
      <c r="F52">
        <f t="shared" si="0"/>
        <v>126353</v>
      </c>
    </row>
    <row r="53" spans="1:6" x14ac:dyDescent="0.35">
      <c r="A53" s="9" t="s">
        <v>756</v>
      </c>
      <c r="B53" s="9" t="s">
        <v>699</v>
      </c>
      <c r="C53" s="9" t="s">
        <v>702</v>
      </c>
      <c r="D53" s="10">
        <v>54</v>
      </c>
      <c r="E53" s="11" t="s">
        <v>693</v>
      </c>
      <c r="F53">
        <f t="shared" si="0"/>
        <v>126354</v>
      </c>
    </row>
    <row r="54" spans="1:6" x14ac:dyDescent="0.35">
      <c r="A54" s="9" t="s">
        <v>757</v>
      </c>
      <c r="B54" s="9" t="s">
        <v>691</v>
      </c>
      <c r="C54" s="9" t="s">
        <v>695</v>
      </c>
      <c r="D54" s="10">
        <v>75</v>
      </c>
      <c r="E54" s="11" t="s">
        <v>693</v>
      </c>
      <c r="F54">
        <f t="shared" si="0"/>
        <v>126355</v>
      </c>
    </row>
    <row r="55" spans="1:6" x14ac:dyDescent="0.35">
      <c r="A55" s="9" t="s">
        <v>758</v>
      </c>
      <c r="B55" s="9" t="s">
        <v>699</v>
      </c>
      <c r="C55" s="9" t="s">
        <v>702</v>
      </c>
      <c r="D55" s="10">
        <v>75</v>
      </c>
      <c r="E55" s="11" t="s">
        <v>693</v>
      </c>
      <c r="F55">
        <f t="shared" si="0"/>
        <v>126357</v>
      </c>
    </row>
    <row r="56" spans="1:6" x14ac:dyDescent="0.35">
      <c r="A56" s="9" t="s">
        <v>759</v>
      </c>
      <c r="B56" s="9" t="s">
        <v>691</v>
      </c>
      <c r="C56" s="9" t="s">
        <v>697</v>
      </c>
      <c r="D56" s="10">
        <v>52.5</v>
      </c>
      <c r="E56" s="11" t="s">
        <v>693</v>
      </c>
      <c r="F56">
        <f t="shared" si="0"/>
        <v>126358</v>
      </c>
    </row>
    <row r="57" spans="1:6" x14ac:dyDescent="0.35">
      <c r="A57" s="9" t="s">
        <v>760</v>
      </c>
      <c r="B57" s="9" t="s">
        <v>691</v>
      </c>
      <c r="C57" s="9" t="s">
        <v>695</v>
      </c>
      <c r="D57" s="10">
        <v>30</v>
      </c>
      <c r="E57" s="11" t="s">
        <v>693</v>
      </c>
      <c r="F57">
        <f t="shared" si="0"/>
        <v>126359</v>
      </c>
    </row>
    <row r="58" spans="1:6" x14ac:dyDescent="0.35">
      <c r="A58" s="9" t="s">
        <v>761</v>
      </c>
      <c r="B58" s="9" t="s">
        <v>691</v>
      </c>
      <c r="C58" s="9" t="s">
        <v>697</v>
      </c>
      <c r="D58" s="10">
        <v>54</v>
      </c>
      <c r="E58" s="11" t="s">
        <v>693</v>
      </c>
      <c r="F58">
        <f t="shared" si="0"/>
        <v>126361</v>
      </c>
    </row>
    <row r="59" spans="1:6" x14ac:dyDescent="0.35">
      <c r="A59" s="9" t="s">
        <v>762</v>
      </c>
      <c r="B59" s="9" t="s">
        <v>691</v>
      </c>
      <c r="C59" s="9" t="s">
        <v>740</v>
      </c>
      <c r="D59" s="10">
        <v>78</v>
      </c>
      <c r="E59" s="11" t="s">
        <v>693</v>
      </c>
      <c r="F59">
        <f t="shared" si="0"/>
        <v>126362</v>
      </c>
    </row>
    <row r="60" spans="1:6" x14ac:dyDescent="0.35">
      <c r="A60" s="9" t="s">
        <v>763</v>
      </c>
      <c r="B60" s="9" t="s">
        <v>691</v>
      </c>
      <c r="C60" s="9" t="s">
        <v>692</v>
      </c>
      <c r="D60" s="10">
        <v>15</v>
      </c>
      <c r="E60" s="11" t="s">
        <v>693</v>
      </c>
      <c r="F60">
        <f t="shared" si="0"/>
        <v>126365</v>
      </c>
    </row>
    <row r="61" spans="1:6" x14ac:dyDescent="0.35">
      <c r="A61" s="9" t="s">
        <v>764</v>
      </c>
      <c r="B61" s="9" t="s">
        <v>691</v>
      </c>
      <c r="C61" s="9" t="s">
        <v>697</v>
      </c>
      <c r="D61" s="10">
        <v>305</v>
      </c>
      <c r="E61" s="11" t="s">
        <v>693</v>
      </c>
      <c r="F61">
        <f t="shared" si="0"/>
        <v>126366</v>
      </c>
    </row>
    <row r="62" spans="1:6" x14ac:dyDescent="0.35">
      <c r="A62" s="9" t="s">
        <v>765</v>
      </c>
      <c r="B62" s="9" t="s">
        <v>720</v>
      </c>
      <c r="C62" s="9" t="s">
        <v>725</v>
      </c>
      <c r="D62" s="10">
        <v>244</v>
      </c>
      <c r="E62" s="11" t="s">
        <v>693</v>
      </c>
      <c r="F62">
        <f t="shared" si="0"/>
        <v>126368</v>
      </c>
    </row>
    <row r="63" spans="1:6" x14ac:dyDescent="0.35">
      <c r="A63" s="9" t="s">
        <v>766</v>
      </c>
      <c r="B63" s="9" t="s">
        <v>699</v>
      </c>
      <c r="C63" s="9" t="s">
        <v>709</v>
      </c>
      <c r="D63" s="10">
        <v>60</v>
      </c>
      <c r="E63" s="11" t="s">
        <v>693</v>
      </c>
      <c r="F63">
        <f t="shared" si="0"/>
        <v>126369</v>
      </c>
    </row>
    <row r="64" spans="1:6" x14ac:dyDescent="0.35">
      <c r="A64" s="9" t="s">
        <v>767</v>
      </c>
      <c r="B64" s="9" t="s">
        <v>691</v>
      </c>
      <c r="C64" s="9" t="s">
        <v>740</v>
      </c>
      <c r="D64" s="10">
        <v>395</v>
      </c>
      <c r="E64" s="11" t="s">
        <v>693</v>
      </c>
      <c r="F64">
        <f t="shared" si="0"/>
        <v>126370</v>
      </c>
    </row>
    <row r="65" spans="1:6" x14ac:dyDescent="0.35">
      <c r="A65" s="9" t="s">
        <v>768</v>
      </c>
      <c r="B65" s="9" t="s">
        <v>720</v>
      </c>
      <c r="C65" s="9" t="s">
        <v>725</v>
      </c>
      <c r="D65" s="10">
        <v>39</v>
      </c>
      <c r="E65" s="11" t="s">
        <v>693</v>
      </c>
      <c r="F65">
        <f t="shared" si="0"/>
        <v>126372</v>
      </c>
    </row>
    <row r="66" spans="1:6" x14ac:dyDescent="0.35">
      <c r="A66" s="9" t="s">
        <v>769</v>
      </c>
      <c r="B66" s="9" t="s">
        <v>691</v>
      </c>
      <c r="C66" s="9" t="s">
        <v>695</v>
      </c>
      <c r="D66" s="10">
        <v>663</v>
      </c>
      <c r="E66" s="11" t="s">
        <v>693</v>
      </c>
      <c r="F66">
        <f t="shared" si="0"/>
        <v>126373</v>
      </c>
    </row>
    <row r="67" spans="1:6" x14ac:dyDescent="0.35">
      <c r="A67" s="9" t="s">
        <v>770</v>
      </c>
      <c r="B67" s="9" t="s">
        <v>691</v>
      </c>
      <c r="C67" s="9" t="s">
        <v>695</v>
      </c>
      <c r="D67" s="10">
        <v>46</v>
      </c>
      <c r="E67" s="11" t="s">
        <v>693</v>
      </c>
      <c r="F67">
        <f t="shared" ref="F67:F130" si="1">VALUE(LEFT(A67,FIND(" ",A67)-1))</f>
        <v>126375</v>
      </c>
    </row>
    <row r="68" spans="1:6" x14ac:dyDescent="0.35">
      <c r="A68" s="9" t="s">
        <v>771</v>
      </c>
      <c r="B68" s="9" t="s">
        <v>691</v>
      </c>
      <c r="C68" s="9" t="s">
        <v>697</v>
      </c>
      <c r="D68" s="10">
        <v>250</v>
      </c>
      <c r="E68" s="11" t="s">
        <v>693</v>
      </c>
      <c r="F68">
        <f t="shared" si="1"/>
        <v>126379</v>
      </c>
    </row>
    <row r="69" spans="1:6" x14ac:dyDescent="0.35">
      <c r="A69" s="9" t="s">
        <v>772</v>
      </c>
      <c r="B69" s="9" t="s">
        <v>691</v>
      </c>
      <c r="C69" s="9" t="s">
        <v>697</v>
      </c>
      <c r="D69" s="10">
        <v>355</v>
      </c>
      <c r="E69" s="11" t="s">
        <v>693</v>
      </c>
      <c r="F69">
        <f t="shared" si="1"/>
        <v>126402</v>
      </c>
    </row>
    <row r="70" spans="1:6" x14ac:dyDescent="0.35">
      <c r="A70" s="9" t="s">
        <v>773</v>
      </c>
      <c r="B70" s="9" t="s">
        <v>691</v>
      </c>
      <c r="C70" s="9" t="s">
        <v>697</v>
      </c>
      <c r="D70" s="10">
        <v>249</v>
      </c>
      <c r="E70" s="11" t="s">
        <v>693</v>
      </c>
      <c r="F70">
        <f t="shared" si="1"/>
        <v>132007</v>
      </c>
    </row>
    <row r="71" spans="1:6" x14ac:dyDescent="0.35">
      <c r="A71" s="9" t="s">
        <v>774</v>
      </c>
      <c r="B71" s="9" t="s">
        <v>720</v>
      </c>
      <c r="C71" s="9" t="s">
        <v>721</v>
      </c>
      <c r="D71" s="10">
        <v>98</v>
      </c>
      <c r="E71" s="11" t="s">
        <v>693</v>
      </c>
      <c r="F71">
        <f t="shared" si="1"/>
        <v>133329</v>
      </c>
    </row>
    <row r="72" spans="1:6" x14ac:dyDescent="0.35">
      <c r="A72" s="9" t="s">
        <v>775</v>
      </c>
      <c r="B72" s="9" t="s">
        <v>691</v>
      </c>
      <c r="C72" s="9" t="s">
        <v>692</v>
      </c>
      <c r="D72" s="10">
        <v>15</v>
      </c>
      <c r="E72" s="11" t="s">
        <v>693</v>
      </c>
      <c r="F72">
        <f t="shared" si="1"/>
        <v>133393</v>
      </c>
    </row>
    <row r="73" spans="1:6" x14ac:dyDescent="0.35">
      <c r="A73" s="9" t="s">
        <v>776</v>
      </c>
      <c r="B73" s="9" t="s">
        <v>691</v>
      </c>
      <c r="C73" s="9" t="s">
        <v>692</v>
      </c>
      <c r="D73" s="10">
        <v>78</v>
      </c>
      <c r="E73" s="11" t="s">
        <v>693</v>
      </c>
      <c r="F73">
        <f t="shared" si="1"/>
        <v>133421</v>
      </c>
    </row>
    <row r="74" spans="1:6" x14ac:dyDescent="0.35">
      <c r="A74" s="9" t="s">
        <v>777</v>
      </c>
      <c r="B74" s="9" t="s">
        <v>691</v>
      </c>
      <c r="C74" s="9" t="s">
        <v>728</v>
      </c>
      <c r="D74" s="10">
        <v>78</v>
      </c>
      <c r="E74" s="11" t="s">
        <v>693</v>
      </c>
      <c r="F74">
        <f t="shared" si="1"/>
        <v>135442</v>
      </c>
    </row>
    <row r="75" spans="1:6" x14ac:dyDescent="0.35">
      <c r="A75" s="9" t="s">
        <v>778</v>
      </c>
      <c r="B75" s="9" t="s">
        <v>691</v>
      </c>
      <c r="C75" s="9" t="s">
        <v>740</v>
      </c>
      <c r="D75" s="10">
        <v>76.5</v>
      </c>
      <c r="E75" s="11" t="s">
        <v>693</v>
      </c>
      <c r="F75">
        <f t="shared" si="1"/>
        <v>135609</v>
      </c>
    </row>
    <row r="76" spans="1:6" x14ac:dyDescent="0.35">
      <c r="A76" s="9" t="s">
        <v>779</v>
      </c>
      <c r="B76" s="9" t="s">
        <v>691</v>
      </c>
      <c r="C76" s="9" t="s">
        <v>740</v>
      </c>
      <c r="D76" s="10">
        <v>1230</v>
      </c>
      <c r="E76" s="11" t="s">
        <v>693</v>
      </c>
      <c r="F76">
        <f t="shared" si="1"/>
        <v>135645</v>
      </c>
    </row>
    <row r="77" spans="1:6" x14ac:dyDescent="0.35">
      <c r="A77" s="9" t="s">
        <v>780</v>
      </c>
      <c r="B77" s="9" t="s">
        <v>691</v>
      </c>
      <c r="C77" s="9" t="s">
        <v>728</v>
      </c>
      <c r="D77" s="10">
        <v>108.5</v>
      </c>
      <c r="E77" s="11" t="s">
        <v>693</v>
      </c>
      <c r="F77">
        <f t="shared" si="1"/>
        <v>135649</v>
      </c>
    </row>
    <row r="78" spans="1:6" x14ac:dyDescent="0.35">
      <c r="A78" s="9" t="s">
        <v>781</v>
      </c>
      <c r="B78" s="9" t="s">
        <v>691</v>
      </c>
      <c r="C78" s="9" t="s">
        <v>695</v>
      </c>
      <c r="D78" s="10">
        <v>31</v>
      </c>
      <c r="E78" s="11" t="s">
        <v>693</v>
      </c>
      <c r="F78">
        <f t="shared" si="1"/>
        <v>135698</v>
      </c>
    </row>
    <row r="79" spans="1:6" x14ac:dyDescent="0.35">
      <c r="A79" s="9" t="s">
        <v>782</v>
      </c>
      <c r="B79" s="9" t="s">
        <v>699</v>
      </c>
      <c r="C79" s="9" t="s">
        <v>700</v>
      </c>
      <c r="D79" s="10">
        <v>110</v>
      </c>
      <c r="E79" s="11" t="s">
        <v>693</v>
      </c>
      <c r="F79">
        <f t="shared" si="1"/>
        <v>141722</v>
      </c>
    </row>
    <row r="80" spans="1:6" x14ac:dyDescent="0.35">
      <c r="A80" s="9" t="s">
        <v>783</v>
      </c>
      <c r="B80" s="9" t="s">
        <v>699</v>
      </c>
      <c r="C80" s="9" t="s">
        <v>700</v>
      </c>
      <c r="D80" s="10">
        <v>60</v>
      </c>
      <c r="E80" s="11" t="s">
        <v>693</v>
      </c>
      <c r="F80">
        <f t="shared" si="1"/>
        <v>141790</v>
      </c>
    </row>
    <row r="81" spans="1:6" x14ac:dyDescent="0.35">
      <c r="A81" s="9" t="s">
        <v>784</v>
      </c>
      <c r="B81" s="9" t="s">
        <v>699</v>
      </c>
      <c r="C81" s="9" t="s">
        <v>709</v>
      </c>
      <c r="D81" s="10">
        <v>88</v>
      </c>
      <c r="E81" s="11" t="s">
        <v>693</v>
      </c>
      <c r="F81">
        <f t="shared" si="1"/>
        <v>153499</v>
      </c>
    </row>
    <row r="82" spans="1:6" x14ac:dyDescent="0.35">
      <c r="A82" s="9" t="s">
        <v>785</v>
      </c>
      <c r="B82" s="9" t="s">
        <v>691</v>
      </c>
      <c r="C82" s="9" t="s">
        <v>733</v>
      </c>
      <c r="D82" s="10">
        <v>255.5</v>
      </c>
      <c r="E82" s="11" t="s">
        <v>693</v>
      </c>
      <c r="F82">
        <f t="shared" si="1"/>
        <v>162500</v>
      </c>
    </row>
    <row r="83" spans="1:6" x14ac:dyDescent="0.35">
      <c r="A83" s="9" t="s">
        <v>786</v>
      </c>
      <c r="B83" s="9" t="s">
        <v>699</v>
      </c>
      <c r="C83" s="9" t="s">
        <v>700</v>
      </c>
      <c r="D83" s="10">
        <v>154</v>
      </c>
      <c r="E83" s="11" t="s">
        <v>693</v>
      </c>
      <c r="F83">
        <f t="shared" si="1"/>
        <v>162505</v>
      </c>
    </row>
    <row r="84" spans="1:6" x14ac:dyDescent="0.35">
      <c r="A84" s="9" t="s">
        <v>787</v>
      </c>
      <c r="B84" s="9" t="s">
        <v>691</v>
      </c>
      <c r="C84" s="9" t="s">
        <v>740</v>
      </c>
      <c r="D84" s="10">
        <v>231</v>
      </c>
      <c r="E84" s="11" t="s">
        <v>693</v>
      </c>
      <c r="F84">
        <f t="shared" si="1"/>
        <v>162507</v>
      </c>
    </row>
    <row r="85" spans="1:6" x14ac:dyDescent="0.35">
      <c r="A85" s="9" t="s">
        <v>788</v>
      </c>
      <c r="B85" s="9" t="s">
        <v>720</v>
      </c>
      <c r="C85" s="9" t="s">
        <v>721</v>
      </c>
      <c r="D85" s="10">
        <v>74.5</v>
      </c>
      <c r="E85" s="11" t="s">
        <v>693</v>
      </c>
      <c r="F85">
        <f t="shared" si="1"/>
        <v>162508</v>
      </c>
    </row>
    <row r="86" spans="1:6" x14ac:dyDescent="0.35">
      <c r="A86" s="9" t="s">
        <v>789</v>
      </c>
      <c r="B86" s="9" t="s">
        <v>699</v>
      </c>
      <c r="C86" s="9" t="s">
        <v>709</v>
      </c>
      <c r="D86" s="10">
        <v>15</v>
      </c>
      <c r="E86" s="11" t="s">
        <v>693</v>
      </c>
      <c r="F86">
        <f t="shared" si="1"/>
        <v>162509</v>
      </c>
    </row>
    <row r="87" spans="1:6" x14ac:dyDescent="0.35">
      <c r="A87" s="9" t="s">
        <v>790</v>
      </c>
      <c r="B87" s="9" t="s">
        <v>691</v>
      </c>
      <c r="C87" s="9" t="s">
        <v>695</v>
      </c>
      <c r="D87" s="10">
        <v>203</v>
      </c>
      <c r="E87" s="11" t="s">
        <v>693</v>
      </c>
      <c r="F87">
        <f t="shared" si="1"/>
        <v>162510</v>
      </c>
    </row>
    <row r="88" spans="1:6" x14ac:dyDescent="0.35">
      <c r="A88" s="9" t="s">
        <v>791</v>
      </c>
      <c r="B88" s="9" t="s">
        <v>699</v>
      </c>
      <c r="C88" s="9" t="s">
        <v>700</v>
      </c>
      <c r="D88" s="10">
        <v>138</v>
      </c>
      <c r="E88" s="11" t="s">
        <v>693</v>
      </c>
      <c r="F88">
        <f t="shared" si="1"/>
        <v>162511</v>
      </c>
    </row>
    <row r="89" spans="1:6" x14ac:dyDescent="0.35">
      <c r="A89" s="9" t="s">
        <v>792</v>
      </c>
      <c r="B89" s="9" t="s">
        <v>691</v>
      </c>
      <c r="C89" s="9" t="s">
        <v>692</v>
      </c>
      <c r="D89" s="10">
        <v>110</v>
      </c>
      <c r="E89" s="11" t="s">
        <v>693</v>
      </c>
      <c r="F89">
        <f t="shared" si="1"/>
        <v>162513</v>
      </c>
    </row>
    <row r="90" spans="1:6" x14ac:dyDescent="0.35">
      <c r="A90" s="9" t="s">
        <v>793</v>
      </c>
      <c r="B90" s="9" t="s">
        <v>699</v>
      </c>
      <c r="C90" s="9" t="s">
        <v>709</v>
      </c>
      <c r="D90" s="10">
        <v>68</v>
      </c>
      <c r="E90" s="11" t="s">
        <v>693</v>
      </c>
      <c r="F90">
        <f t="shared" si="1"/>
        <v>162515</v>
      </c>
    </row>
    <row r="91" spans="1:6" x14ac:dyDescent="0.35">
      <c r="A91" s="9" t="s">
        <v>794</v>
      </c>
      <c r="B91" s="9" t="s">
        <v>720</v>
      </c>
      <c r="C91" s="9" t="s">
        <v>721</v>
      </c>
      <c r="D91" s="10">
        <v>90</v>
      </c>
      <c r="E91" s="11" t="s">
        <v>693</v>
      </c>
      <c r="F91">
        <f t="shared" si="1"/>
        <v>164764</v>
      </c>
    </row>
    <row r="92" spans="1:6" x14ac:dyDescent="0.35">
      <c r="A92" s="9" t="s">
        <v>795</v>
      </c>
      <c r="B92" s="9" t="s">
        <v>699</v>
      </c>
      <c r="C92" s="9" t="s">
        <v>700</v>
      </c>
      <c r="D92" s="10">
        <v>66.5</v>
      </c>
      <c r="E92" s="11" t="s">
        <v>693</v>
      </c>
      <c r="F92">
        <f t="shared" si="1"/>
        <v>164767</v>
      </c>
    </row>
    <row r="93" spans="1:6" x14ac:dyDescent="0.35">
      <c r="A93" s="9" t="s">
        <v>796</v>
      </c>
      <c r="B93" s="9" t="s">
        <v>691</v>
      </c>
      <c r="C93" s="9" t="s">
        <v>695</v>
      </c>
      <c r="D93" s="10">
        <v>300</v>
      </c>
      <c r="E93" s="11" t="s">
        <v>693</v>
      </c>
      <c r="F93">
        <f t="shared" si="1"/>
        <v>164772</v>
      </c>
    </row>
    <row r="94" spans="1:6" x14ac:dyDescent="0.35">
      <c r="A94" s="9" t="s">
        <v>797</v>
      </c>
      <c r="B94" s="9" t="s">
        <v>699</v>
      </c>
      <c r="C94" s="9" t="s">
        <v>709</v>
      </c>
      <c r="D94" s="10">
        <v>82</v>
      </c>
      <c r="E94" s="11" t="s">
        <v>693</v>
      </c>
      <c r="F94">
        <f t="shared" si="1"/>
        <v>174541</v>
      </c>
    </row>
    <row r="95" spans="1:6" x14ac:dyDescent="0.35">
      <c r="A95" s="9" t="s">
        <v>798</v>
      </c>
      <c r="B95" s="9" t="s">
        <v>720</v>
      </c>
      <c r="C95" s="9" t="s">
        <v>725</v>
      </c>
      <c r="D95" s="10">
        <v>238.5</v>
      </c>
      <c r="E95" s="11" t="s">
        <v>693</v>
      </c>
      <c r="F95">
        <f t="shared" si="1"/>
        <v>174542</v>
      </c>
    </row>
    <row r="96" spans="1:6" x14ac:dyDescent="0.35">
      <c r="A96" s="9" t="s">
        <v>799</v>
      </c>
      <c r="B96" s="9" t="s">
        <v>720</v>
      </c>
      <c r="C96" s="9" t="s">
        <v>721</v>
      </c>
      <c r="D96" s="10">
        <v>14</v>
      </c>
      <c r="E96" s="11" t="s">
        <v>693</v>
      </c>
      <c r="F96">
        <f t="shared" si="1"/>
        <v>174550</v>
      </c>
    </row>
    <row r="97" spans="1:6" x14ac:dyDescent="0.35">
      <c r="A97" s="9" t="s">
        <v>800</v>
      </c>
      <c r="B97" s="9" t="s">
        <v>691</v>
      </c>
      <c r="C97" s="9" t="s">
        <v>740</v>
      </c>
      <c r="D97" s="10">
        <v>410</v>
      </c>
      <c r="E97" s="11" t="s">
        <v>693</v>
      </c>
      <c r="F97">
        <f t="shared" si="1"/>
        <v>176113</v>
      </c>
    </row>
    <row r="98" spans="1:6" x14ac:dyDescent="0.35">
      <c r="A98" s="9" t="s">
        <v>801</v>
      </c>
      <c r="B98" s="9" t="s">
        <v>691</v>
      </c>
      <c r="C98" s="9" t="s">
        <v>728</v>
      </c>
      <c r="D98" s="10">
        <v>39</v>
      </c>
      <c r="E98" s="11" t="s">
        <v>693</v>
      </c>
      <c r="F98">
        <f t="shared" si="1"/>
        <v>176189</v>
      </c>
    </row>
    <row r="99" spans="1:6" x14ac:dyDescent="0.35">
      <c r="A99" s="9" t="s">
        <v>802</v>
      </c>
      <c r="B99" s="9" t="s">
        <v>720</v>
      </c>
      <c r="C99" s="9" t="s">
        <v>721</v>
      </c>
      <c r="D99" s="10">
        <v>77</v>
      </c>
      <c r="E99" s="11" t="s">
        <v>693</v>
      </c>
      <c r="F99">
        <f t="shared" si="1"/>
        <v>176684</v>
      </c>
    </row>
    <row r="100" spans="1:6" x14ac:dyDescent="0.35">
      <c r="A100" s="9" t="s">
        <v>803</v>
      </c>
      <c r="B100" s="9" t="s">
        <v>691</v>
      </c>
      <c r="C100" s="9" t="s">
        <v>733</v>
      </c>
      <c r="D100" s="10">
        <v>245</v>
      </c>
      <c r="E100" s="11" t="s">
        <v>693</v>
      </c>
      <c r="F100">
        <f t="shared" si="1"/>
        <v>180555</v>
      </c>
    </row>
    <row r="101" spans="1:6" x14ac:dyDescent="0.35">
      <c r="A101" s="9" t="s">
        <v>804</v>
      </c>
      <c r="B101" s="9" t="s">
        <v>691</v>
      </c>
      <c r="C101" s="9" t="s">
        <v>695</v>
      </c>
      <c r="D101" s="10">
        <v>51</v>
      </c>
      <c r="E101" s="11" t="s">
        <v>693</v>
      </c>
      <c r="F101">
        <f t="shared" si="1"/>
        <v>180566</v>
      </c>
    </row>
    <row r="102" spans="1:6" x14ac:dyDescent="0.35">
      <c r="A102" s="9" t="s">
        <v>805</v>
      </c>
      <c r="B102" s="9" t="s">
        <v>691</v>
      </c>
      <c r="C102" s="9" t="s">
        <v>695</v>
      </c>
      <c r="D102" s="10">
        <v>638</v>
      </c>
      <c r="E102" s="11" t="s">
        <v>693</v>
      </c>
      <c r="F102">
        <f t="shared" si="1"/>
        <v>181638</v>
      </c>
    </row>
    <row r="103" spans="1:6" x14ac:dyDescent="0.35">
      <c r="A103" s="9" t="s">
        <v>806</v>
      </c>
      <c r="B103" s="9" t="s">
        <v>691</v>
      </c>
      <c r="C103" s="9" t="s">
        <v>697</v>
      </c>
      <c r="D103" s="10">
        <v>45</v>
      </c>
      <c r="E103" s="11" t="s">
        <v>693</v>
      </c>
      <c r="F103">
        <f t="shared" si="1"/>
        <v>184284</v>
      </c>
    </row>
    <row r="104" spans="1:6" x14ac:dyDescent="0.35">
      <c r="A104" s="9" t="s">
        <v>807</v>
      </c>
      <c r="B104" s="9" t="s">
        <v>720</v>
      </c>
      <c r="C104" s="9" t="s">
        <v>725</v>
      </c>
      <c r="D104" s="10">
        <v>87.5</v>
      </c>
      <c r="E104" s="11" t="s">
        <v>693</v>
      </c>
      <c r="F104">
        <f t="shared" si="1"/>
        <v>185653</v>
      </c>
    </row>
    <row r="105" spans="1:6" x14ac:dyDescent="0.35">
      <c r="A105" s="9" t="s">
        <v>808</v>
      </c>
      <c r="B105" s="9" t="s">
        <v>699</v>
      </c>
      <c r="C105" s="9" t="s">
        <v>709</v>
      </c>
      <c r="D105" s="10">
        <v>57</v>
      </c>
      <c r="E105" s="11" t="s">
        <v>693</v>
      </c>
      <c r="F105">
        <f t="shared" si="1"/>
        <v>192171</v>
      </c>
    </row>
    <row r="106" spans="1:6" x14ac:dyDescent="0.35">
      <c r="A106" s="9" t="s">
        <v>809</v>
      </c>
      <c r="B106" s="9" t="s">
        <v>720</v>
      </c>
      <c r="C106" s="9" t="s">
        <v>725</v>
      </c>
      <c r="D106" s="10">
        <v>84</v>
      </c>
      <c r="E106" s="11" t="s">
        <v>693</v>
      </c>
      <c r="F106">
        <f t="shared" si="1"/>
        <v>192206</v>
      </c>
    </row>
    <row r="107" spans="1:6" x14ac:dyDescent="0.35">
      <c r="A107" s="9" t="s">
        <v>810</v>
      </c>
      <c r="B107" s="9" t="s">
        <v>720</v>
      </c>
      <c r="C107" s="9" t="s">
        <v>721</v>
      </c>
      <c r="D107" s="10">
        <v>190.5</v>
      </c>
      <c r="E107" s="11" t="s">
        <v>693</v>
      </c>
      <c r="F107">
        <f t="shared" si="1"/>
        <v>192208</v>
      </c>
    </row>
    <row r="108" spans="1:6" x14ac:dyDescent="0.35">
      <c r="A108" s="9" t="s">
        <v>811</v>
      </c>
      <c r="B108" s="9" t="s">
        <v>720</v>
      </c>
      <c r="C108" s="9" t="s">
        <v>725</v>
      </c>
      <c r="D108" s="10">
        <v>90</v>
      </c>
      <c r="E108" s="11" t="s">
        <v>693</v>
      </c>
      <c r="F108">
        <f t="shared" si="1"/>
        <v>192214</v>
      </c>
    </row>
    <row r="109" spans="1:6" x14ac:dyDescent="0.35">
      <c r="A109" s="9" t="s">
        <v>812</v>
      </c>
      <c r="B109" s="9" t="s">
        <v>720</v>
      </c>
      <c r="C109" s="9" t="s">
        <v>725</v>
      </c>
      <c r="D109" s="10">
        <v>81</v>
      </c>
      <c r="E109" s="11" t="s">
        <v>693</v>
      </c>
      <c r="F109">
        <f t="shared" si="1"/>
        <v>192215</v>
      </c>
    </row>
    <row r="110" spans="1:6" x14ac:dyDescent="0.35">
      <c r="A110" s="9" t="s">
        <v>813</v>
      </c>
      <c r="B110" s="9" t="s">
        <v>699</v>
      </c>
      <c r="C110" s="9" t="s">
        <v>700</v>
      </c>
      <c r="D110" s="10">
        <v>163</v>
      </c>
      <c r="E110" s="11" t="s">
        <v>693</v>
      </c>
      <c r="F110">
        <f t="shared" si="1"/>
        <v>192251</v>
      </c>
    </row>
    <row r="111" spans="1:6" x14ac:dyDescent="0.35">
      <c r="A111" s="9" t="s">
        <v>814</v>
      </c>
      <c r="B111" s="9" t="s">
        <v>699</v>
      </c>
      <c r="C111" s="9" t="s">
        <v>709</v>
      </c>
      <c r="D111" s="10">
        <v>105</v>
      </c>
      <c r="E111" s="11" t="s">
        <v>693</v>
      </c>
      <c r="F111">
        <f t="shared" si="1"/>
        <v>192252</v>
      </c>
    </row>
    <row r="112" spans="1:6" x14ac:dyDescent="0.35">
      <c r="A112" s="9" t="s">
        <v>815</v>
      </c>
      <c r="B112" s="9" t="s">
        <v>699</v>
      </c>
      <c r="C112" s="9" t="s">
        <v>702</v>
      </c>
      <c r="D112" s="10">
        <v>134.5</v>
      </c>
      <c r="E112" s="11" t="s">
        <v>693</v>
      </c>
      <c r="F112">
        <f t="shared" si="1"/>
        <v>192254</v>
      </c>
    </row>
    <row r="113" spans="1:6" x14ac:dyDescent="0.35">
      <c r="A113" s="9" t="s">
        <v>816</v>
      </c>
      <c r="B113" s="9" t="s">
        <v>699</v>
      </c>
      <c r="C113" s="9" t="s">
        <v>709</v>
      </c>
      <c r="D113" s="10">
        <v>100</v>
      </c>
      <c r="E113" s="11" t="s">
        <v>693</v>
      </c>
      <c r="F113">
        <f t="shared" si="1"/>
        <v>192255</v>
      </c>
    </row>
    <row r="114" spans="1:6" x14ac:dyDescent="0.35">
      <c r="A114" s="9" t="s">
        <v>817</v>
      </c>
      <c r="B114" s="9" t="s">
        <v>691</v>
      </c>
      <c r="C114" s="9" t="s">
        <v>697</v>
      </c>
      <c r="D114" s="10">
        <v>288.5</v>
      </c>
      <c r="E114" s="11" t="s">
        <v>693</v>
      </c>
      <c r="F114">
        <f t="shared" si="1"/>
        <v>192256</v>
      </c>
    </row>
    <row r="115" spans="1:6" x14ac:dyDescent="0.35">
      <c r="A115" s="9" t="s">
        <v>818</v>
      </c>
      <c r="B115" s="9" t="s">
        <v>691</v>
      </c>
      <c r="C115" s="9" t="s">
        <v>695</v>
      </c>
      <c r="D115" s="10">
        <v>183</v>
      </c>
      <c r="E115" s="11" t="s">
        <v>693</v>
      </c>
      <c r="F115">
        <f t="shared" si="1"/>
        <v>192257</v>
      </c>
    </row>
    <row r="116" spans="1:6" x14ac:dyDescent="0.35">
      <c r="A116" s="9" t="s">
        <v>819</v>
      </c>
      <c r="B116" s="9" t="s">
        <v>691</v>
      </c>
      <c r="C116" s="9" t="s">
        <v>695</v>
      </c>
      <c r="D116" s="10">
        <v>56</v>
      </c>
      <c r="E116" s="11" t="s">
        <v>693</v>
      </c>
      <c r="F116">
        <f t="shared" si="1"/>
        <v>192260</v>
      </c>
    </row>
    <row r="117" spans="1:6" x14ac:dyDescent="0.35">
      <c r="A117" s="9" t="s">
        <v>820</v>
      </c>
      <c r="B117" s="9" t="s">
        <v>691</v>
      </c>
      <c r="C117" s="9" t="s">
        <v>740</v>
      </c>
      <c r="D117" s="10">
        <v>465</v>
      </c>
      <c r="E117" s="11" t="s">
        <v>693</v>
      </c>
      <c r="F117">
        <f t="shared" si="1"/>
        <v>192263</v>
      </c>
    </row>
    <row r="118" spans="1:6" x14ac:dyDescent="0.35">
      <c r="A118" s="9" t="s">
        <v>821</v>
      </c>
      <c r="B118" s="9" t="s">
        <v>691</v>
      </c>
      <c r="C118" s="9" t="s">
        <v>695</v>
      </c>
      <c r="D118" s="10">
        <v>53</v>
      </c>
      <c r="E118" s="11" t="s">
        <v>693</v>
      </c>
      <c r="F118">
        <f t="shared" si="1"/>
        <v>192265</v>
      </c>
    </row>
    <row r="119" spans="1:6" x14ac:dyDescent="0.35">
      <c r="A119" s="9" t="s">
        <v>822</v>
      </c>
      <c r="B119" s="9" t="s">
        <v>691</v>
      </c>
      <c r="C119" s="9" t="s">
        <v>695</v>
      </c>
      <c r="D119" s="10">
        <v>52.5</v>
      </c>
      <c r="E119" s="11" t="s">
        <v>693</v>
      </c>
      <c r="F119">
        <f t="shared" si="1"/>
        <v>192267</v>
      </c>
    </row>
    <row r="120" spans="1:6" x14ac:dyDescent="0.35">
      <c r="A120" s="9" t="s">
        <v>823</v>
      </c>
      <c r="B120" s="9" t="s">
        <v>691</v>
      </c>
      <c r="C120" s="9" t="s">
        <v>695</v>
      </c>
      <c r="D120" s="10">
        <v>156</v>
      </c>
      <c r="E120" s="11" t="s">
        <v>693</v>
      </c>
      <c r="F120">
        <f t="shared" si="1"/>
        <v>192268</v>
      </c>
    </row>
    <row r="121" spans="1:6" x14ac:dyDescent="0.35">
      <c r="A121" s="9" t="s">
        <v>824</v>
      </c>
      <c r="B121" s="9" t="s">
        <v>691</v>
      </c>
      <c r="C121" s="9" t="s">
        <v>728</v>
      </c>
      <c r="D121" s="10">
        <v>133.5</v>
      </c>
      <c r="E121" s="11" t="s">
        <v>693</v>
      </c>
      <c r="F121">
        <f t="shared" si="1"/>
        <v>192269</v>
      </c>
    </row>
    <row r="122" spans="1:6" x14ac:dyDescent="0.35">
      <c r="A122" s="9" t="s">
        <v>825</v>
      </c>
      <c r="B122" s="9" t="s">
        <v>720</v>
      </c>
      <c r="C122" s="9" t="s">
        <v>721</v>
      </c>
      <c r="D122" s="10">
        <v>12</v>
      </c>
      <c r="E122" s="11" t="s">
        <v>693</v>
      </c>
      <c r="F122">
        <f t="shared" si="1"/>
        <v>192271</v>
      </c>
    </row>
    <row r="123" spans="1:6" x14ac:dyDescent="0.35">
      <c r="A123" s="9" t="s">
        <v>826</v>
      </c>
      <c r="B123" s="9" t="s">
        <v>720</v>
      </c>
      <c r="C123" s="9" t="s">
        <v>721</v>
      </c>
      <c r="D123" s="10">
        <v>7</v>
      </c>
      <c r="E123" s="11" t="s">
        <v>693</v>
      </c>
      <c r="F123">
        <f t="shared" si="1"/>
        <v>192273</v>
      </c>
    </row>
    <row r="124" spans="1:6" x14ac:dyDescent="0.35">
      <c r="A124" s="9" t="s">
        <v>827</v>
      </c>
      <c r="B124" s="9" t="s">
        <v>720</v>
      </c>
      <c r="C124" s="9" t="s">
        <v>721</v>
      </c>
      <c r="D124" s="10">
        <v>66.5</v>
      </c>
      <c r="E124" s="11" t="s">
        <v>693</v>
      </c>
      <c r="F124">
        <f t="shared" si="1"/>
        <v>192656</v>
      </c>
    </row>
    <row r="125" spans="1:6" x14ac:dyDescent="0.35">
      <c r="A125" s="9" t="s">
        <v>828</v>
      </c>
      <c r="B125" s="9" t="s">
        <v>691</v>
      </c>
      <c r="C125" s="9" t="s">
        <v>733</v>
      </c>
      <c r="D125" s="10">
        <v>120</v>
      </c>
      <c r="E125" s="11" t="s">
        <v>693</v>
      </c>
      <c r="F125">
        <f t="shared" si="1"/>
        <v>192876</v>
      </c>
    </row>
    <row r="126" spans="1:6" x14ac:dyDescent="0.35">
      <c r="A126" s="9" t="s">
        <v>829</v>
      </c>
      <c r="B126" s="9" t="s">
        <v>691</v>
      </c>
      <c r="C126" s="9" t="s">
        <v>740</v>
      </c>
      <c r="D126" s="10">
        <v>105</v>
      </c>
      <c r="E126" s="11" t="s">
        <v>693</v>
      </c>
      <c r="F126">
        <f t="shared" si="1"/>
        <v>192877</v>
      </c>
    </row>
    <row r="127" spans="1:6" x14ac:dyDescent="0.35">
      <c r="A127" s="9" t="s">
        <v>830</v>
      </c>
      <c r="B127" s="9" t="s">
        <v>691</v>
      </c>
      <c r="C127" s="9" t="s">
        <v>733</v>
      </c>
      <c r="D127" s="10">
        <v>833</v>
      </c>
      <c r="E127" s="11" t="s">
        <v>693</v>
      </c>
      <c r="F127">
        <f t="shared" si="1"/>
        <v>193203</v>
      </c>
    </row>
    <row r="128" spans="1:6" x14ac:dyDescent="0.35">
      <c r="A128" s="9" t="s">
        <v>831</v>
      </c>
      <c r="B128" s="9" t="s">
        <v>691</v>
      </c>
      <c r="C128" s="9" t="s">
        <v>733</v>
      </c>
      <c r="D128" s="10">
        <v>158</v>
      </c>
      <c r="E128" s="11" t="s">
        <v>693</v>
      </c>
      <c r="F128">
        <f t="shared" si="1"/>
        <v>193205</v>
      </c>
    </row>
    <row r="129" spans="1:6" x14ac:dyDescent="0.35">
      <c r="A129" s="9" t="s">
        <v>832</v>
      </c>
      <c r="B129" s="9" t="s">
        <v>691</v>
      </c>
      <c r="C129" s="9" t="s">
        <v>695</v>
      </c>
      <c r="D129" s="10">
        <v>285</v>
      </c>
      <c r="E129" s="11" t="s">
        <v>693</v>
      </c>
      <c r="F129">
        <f t="shared" si="1"/>
        <v>194146</v>
      </c>
    </row>
    <row r="130" spans="1:6" x14ac:dyDescent="0.35">
      <c r="A130" s="9" t="s">
        <v>833</v>
      </c>
      <c r="B130" s="9" t="s">
        <v>691</v>
      </c>
      <c r="C130" s="9" t="s">
        <v>740</v>
      </c>
      <c r="D130" s="10">
        <v>252</v>
      </c>
      <c r="E130" s="11" t="s">
        <v>693</v>
      </c>
      <c r="F130">
        <f t="shared" si="1"/>
        <v>194558</v>
      </c>
    </row>
    <row r="131" spans="1:6" x14ac:dyDescent="0.35">
      <c r="A131" s="9" t="s">
        <v>834</v>
      </c>
      <c r="B131" s="9" t="s">
        <v>720</v>
      </c>
      <c r="C131" s="9" t="s">
        <v>725</v>
      </c>
      <c r="D131" s="10">
        <v>67</v>
      </c>
      <c r="E131" s="11" t="s">
        <v>693</v>
      </c>
      <c r="F131">
        <f t="shared" ref="F131:F194" si="2">VALUE(LEFT(A131,FIND(" ",A131)-1))</f>
        <v>194979</v>
      </c>
    </row>
    <row r="132" spans="1:6" x14ac:dyDescent="0.35">
      <c r="A132" s="9" t="s">
        <v>835</v>
      </c>
      <c r="B132" s="9" t="s">
        <v>720</v>
      </c>
      <c r="C132" s="9" t="s">
        <v>721</v>
      </c>
      <c r="D132" s="10">
        <v>133.5</v>
      </c>
      <c r="E132" s="11" t="s">
        <v>693</v>
      </c>
      <c r="F132">
        <f t="shared" si="2"/>
        <v>195390</v>
      </c>
    </row>
    <row r="133" spans="1:6" x14ac:dyDescent="0.35">
      <c r="A133" s="9" t="s">
        <v>836</v>
      </c>
      <c r="B133" s="9" t="s">
        <v>691</v>
      </c>
      <c r="C133" s="9" t="s">
        <v>692</v>
      </c>
      <c r="D133" s="10">
        <v>48</v>
      </c>
      <c r="E133" s="11" t="s">
        <v>693</v>
      </c>
      <c r="F133">
        <f t="shared" si="2"/>
        <v>195653</v>
      </c>
    </row>
    <row r="134" spans="1:6" x14ac:dyDescent="0.35">
      <c r="A134" s="9" t="s">
        <v>837</v>
      </c>
      <c r="B134" s="9" t="s">
        <v>699</v>
      </c>
      <c r="C134" s="9" t="s">
        <v>702</v>
      </c>
      <c r="D134" s="10">
        <v>48</v>
      </c>
      <c r="E134" s="11" t="s">
        <v>693</v>
      </c>
      <c r="F134">
        <f t="shared" si="2"/>
        <v>196164</v>
      </c>
    </row>
    <row r="135" spans="1:6" x14ac:dyDescent="0.35">
      <c r="A135" s="9" t="s">
        <v>838</v>
      </c>
      <c r="B135" s="9" t="s">
        <v>699</v>
      </c>
      <c r="C135" s="9" t="s">
        <v>700</v>
      </c>
      <c r="D135" s="10">
        <v>158</v>
      </c>
      <c r="E135" s="11" t="s">
        <v>693</v>
      </c>
      <c r="F135">
        <f t="shared" si="2"/>
        <v>196197</v>
      </c>
    </row>
    <row r="136" spans="1:6" x14ac:dyDescent="0.35">
      <c r="A136" s="9" t="s">
        <v>839</v>
      </c>
      <c r="B136" s="9" t="s">
        <v>691</v>
      </c>
      <c r="C136" s="9" t="s">
        <v>697</v>
      </c>
      <c r="D136" s="10">
        <v>67.5</v>
      </c>
      <c r="E136" s="11" t="s">
        <v>693</v>
      </c>
      <c r="F136">
        <f t="shared" si="2"/>
        <v>197572</v>
      </c>
    </row>
    <row r="137" spans="1:6" x14ac:dyDescent="0.35">
      <c r="A137" s="9" t="s">
        <v>840</v>
      </c>
      <c r="B137" s="9" t="s">
        <v>691</v>
      </c>
      <c r="C137" s="9" t="s">
        <v>697</v>
      </c>
      <c r="D137" s="10">
        <v>138</v>
      </c>
      <c r="E137" s="11" t="s">
        <v>693</v>
      </c>
      <c r="F137">
        <f t="shared" si="2"/>
        <v>197645</v>
      </c>
    </row>
    <row r="138" spans="1:6" x14ac:dyDescent="0.35">
      <c r="A138" s="9" t="s">
        <v>841</v>
      </c>
      <c r="B138" s="9" t="s">
        <v>699</v>
      </c>
      <c r="C138" s="9" t="s">
        <v>709</v>
      </c>
      <c r="D138" s="10">
        <v>160</v>
      </c>
      <c r="E138" s="11" t="s">
        <v>693</v>
      </c>
      <c r="F138">
        <f t="shared" si="2"/>
        <v>197680</v>
      </c>
    </row>
    <row r="139" spans="1:6" x14ac:dyDescent="0.35">
      <c r="A139" s="9" t="s">
        <v>842</v>
      </c>
      <c r="B139" s="9" t="s">
        <v>720</v>
      </c>
      <c r="C139" s="9" t="s">
        <v>721</v>
      </c>
      <c r="D139" s="10">
        <v>54</v>
      </c>
      <c r="E139" s="11" t="s">
        <v>693</v>
      </c>
      <c r="F139">
        <f t="shared" si="2"/>
        <v>198477</v>
      </c>
    </row>
    <row r="140" spans="1:6" x14ac:dyDescent="0.35">
      <c r="A140" s="9" t="s">
        <v>843</v>
      </c>
      <c r="B140" s="9" t="s">
        <v>699</v>
      </c>
      <c r="C140" s="9" t="s">
        <v>709</v>
      </c>
      <c r="D140" s="10">
        <v>31</v>
      </c>
      <c r="E140" s="11" t="s">
        <v>693</v>
      </c>
      <c r="F140">
        <f t="shared" si="2"/>
        <v>198744</v>
      </c>
    </row>
    <row r="141" spans="1:6" x14ac:dyDescent="0.35">
      <c r="A141" s="9" t="s">
        <v>844</v>
      </c>
      <c r="B141" s="9" t="s">
        <v>691</v>
      </c>
      <c r="C141" s="9" t="s">
        <v>740</v>
      </c>
      <c r="D141" s="10">
        <v>141</v>
      </c>
      <c r="E141" s="11" t="s">
        <v>693</v>
      </c>
      <c r="F141">
        <f t="shared" si="2"/>
        <v>202488</v>
      </c>
    </row>
    <row r="142" spans="1:6" x14ac:dyDescent="0.35">
      <c r="A142" s="9" t="s">
        <v>845</v>
      </c>
      <c r="B142" s="9" t="s">
        <v>699</v>
      </c>
      <c r="C142" s="9" t="s">
        <v>709</v>
      </c>
      <c r="D142" s="10">
        <v>33</v>
      </c>
      <c r="E142" s="11" t="s">
        <v>693</v>
      </c>
      <c r="F142">
        <f t="shared" si="2"/>
        <v>202494</v>
      </c>
    </row>
    <row r="143" spans="1:6" x14ac:dyDescent="0.35">
      <c r="A143" s="9" t="s">
        <v>846</v>
      </c>
      <c r="B143" s="9" t="s">
        <v>691</v>
      </c>
      <c r="C143" s="9" t="s">
        <v>733</v>
      </c>
      <c r="D143" s="10">
        <v>474.5</v>
      </c>
      <c r="E143" s="11" t="s">
        <v>693</v>
      </c>
      <c r="F143">
        <f t="shared" si="2"/>
        <v>203201</v>
      </c>
    </row>
    <row r="144" spans="1:6" x14ac:dyDescent="0.35">
      <c r="A144" s="9" t="s">
        <v>847</v>
      </c>
      <c r="B144" s="9" t="s">
        <v>699</v>
      </c>
      <c r="C144" s="9" t="s">
        <v>709</v>
      </c>
      <c r="D144" s="10">
        <v>36</v>
      </c>
      <c r="E144" s="11" t="s">
        <v>693</v>
      </c>
      <c r="F144">
        <f t="shared" si="2"/>
        <v>203450</v>
      </c>
    </row>
    <row r="145" spans="1:6" x14ac:dyDescent="0.35">
      <c r="A145" s="9" t="s">
        <v>848</v>
      </c>
      <c r="B145" s="9" t="s">
        <v>691</v>
      </c>
      <c r="C145" s="9" t="s">
        <v>733</v>
      </c>
      <c r="D145" s="10">
        <v>70</v>
      </c>
      <c r="E145" s="11" t="s">
        <v>693</v>
      </c>
      <c r="F145">
        <f t="shared" si="2"/>
        <v>204098</v>
      </c>
    </row>
    <row r="146" spans="1:6" x14ac:dyDescent="0.35">
      <c r="A146" s="9" t="s">
        <v>849</v>
      </c>
      <c r="B146" s="9" t="s">
        <v>699</v>
      </c>
      <c r="C146" s="9" t="s">
        <v>709</v>
      </c>
      <c r="D146" s="10">
        <v>122</v>
      </c>
      <c r="E146" s="11" t="s">
        <v>693</v>
      </c>
      <c r="F146">
        <f t="shared" si="2"/>
        <v>205829</v>
      </c>
    </row>
    <row r="147" spans="1:6" x14ac:dyDescent="0.35">
      <c r="A147" s="9" t="s">
        <v>850</v>
      </c>
      <c r="B147" s="9" t="s">
        <v>699</v>
      </c>
      <c r="C147" s="9" t="s">
        <v>709</v>
      </c>
      <c r="D147" s="10">
        <v>42</v>
      </c>
      <c r="E147" s="11" t="s">
        <v>693</v>
      </c>
      <c r="F147">
        <f t="shared" si="2"/>
        <v>205938</v>
      </c>
    </row>
    <row r="148" spans="1:6" x14ac:dyDescent="0.35">
      <c r="A148" s="9" t="s">
        <v>851</v>
      </c>
      <c r="B148" s="9" t="s">
        <v>699</v>
      </c>
      <c r="C148" s="9" t="s">
        <v>709</v>
      </c>
      <c r="D148" s="10">
        <v>69</v>
      </c>
      <c r="E148" s="11" t="s">
        <v>693</v>
      </c>
      <c r="F148">
        <f t="shared" si="2"/>
        <v>206324</v>
      </c>
    </row>
    <row r="149" spans="1:6" x14ac:dyDescent="0.35">
      <c r="A149" s="9" t="s">
        <v>852</v>
      </c>
      <c r="B149" s="9" t="s">
        <v>691</v>
      </c>
      <c r="C149" s="9" t="s">
        <v>740</v>
      </c>
      <c r="D149" s="10">
        <v>93</v>
      </c>
      <c r="E149" s="11" t="s">
        <v>693</v>
      </c>
      <c r="F149">
        <f t="shared" si="2"/>
        <v>208043</v>
      </c>
    </row>
    <row r="150" spans="1:6" x14ac:dyDescent="0.35">
      <c r="A150" s="9" t="s">
        <v>853</v>
      </c>
      <c r="B150" s="9" t="s">
        <v>699</v>
      </c>
      <c r="C150" s="9" t="s">
        <v>700</v>
      </c>
      <c r="D150" s="10">
        <v>98</v>
      </c>
      <c r="E150" s="11" t="s">
        <v>693</v>
      </c>
      <c r="F150">
        <f t="shared" si="2"/>
        <v>208063</v>
      </c>
    </row>
    <row r="151" spans="1:6" x14ac:dyDescent="0.35">
      <c r="A151" s="9" t="s">
        <v>854</v>
      </c>
      <c r="B151" s="9" t="s">
        <v>699</v>
      </c>
      <c r="C151" s="9" t="s">
        <v>700</v>
      </c>
      <c r="D151" s="10">
        <v>6</v>
      </c>
      <c r="E151" s="11" t="s">
        <v>693</v>
      </c>
      <c r="F151">
        <f t="shared" si="2"/>
        <v>208242</v>
      </c>
    </row>
    <row r="152" spans="1:6" x14ac:dyDescent="0.35">
      <c r="A152" s="9" t="s">
        <v>855</v>
      </c>
      <c r="B152" s="9" t="s">
        <v>691</v>
      </c>
      <c r="C152" s="9" t="s">
        <v>740</v>
      </c>
      <c r="D152" s="10">
        <v>243</v>
      </c>
      <c r="E152" s="11" t="s">
        <v>693</v>
      </c>
      <c r="F152">
        <f t="shared" si="2"/>
        <v>208865</v>
      </c>
    </row>
    <row r="153" spans="1:6" x14ac:dyDescent="0.35">
      <c r="A153" s="9" t="s">
        <v>856</v>
      </c>
      <c r="B153" s="9" t="s">
        <v>691</v>
      </c>
      <c r="C153" s="9" t="s">
        <v>740</v>
      </c>
      <c r="D153" s="10">
        <v>762</v>
      </c>
      <c r="E153" s="11" t="s">
        <v>693</v>
      </c>
      <c r="F153">
        <f t="shared" si="2"/>
        <v>208883</v>
      </c>
    </row>
    <row r="154" spans="1:6" x14ac:dyDescent="0.35">
      <c r="A154" s="9" t="s">
        <v>857</v>
      </c>
      <c r="B154" s="9" t="s">
        <v>691</v>
      </c>
      <c r="C154" s="9" t="s">
        <v>728</v>
      </c>
      <c r="D154" s="10">
        <v>96</v>
      </c>
      <c r="E154" s="11" t="s">
        <v>693</v>
      </c>
      <c r="F154">
        <f t="shared" si="2"/>
        <v>208886</v>
      </c>
    </row>
    <row r="155" spans="1:6" x14ac:dyDescent="0.35">
      <c r="A155" s="9" t="s">
        <v>858</v>
      </c>
      <c r="B155" s="9" t="s">
        <v>699</v>
      </c>
      <c r="C155" s="9" t="s">
        <v>709</v>
      </c>
      <c r="D155" s="10">
        <v>53</v>
      </c>
      <c r="E155" s="11" t="s">
        <v>693</v>
      </c>
      <c r="F155">
        <f t="shared" si="2"/>
        <v>209709</v>
      </c>
    </row>
    <row r="156" spans="1:6" x14ac:dyDescent="0.35">
      <c r="A156" s="9" t="s">
        <v>859</v>
      </c>
      <c r="B156" s="9" t="s">
        <v>699</v>
      </c>
      <c r="C156" s="9" t="s">
        <v>702</v>
      </c>
      <c r="D156" s="10">
        <v>78</v>
      </c>
      <c r="E156" s="11" t="s">
        <v>693</v>
      </c>
      <c r="F156">
        <f t="shared" si="2"/>
        <v>209798</v>
      </c>
    </row>
    <row r="157" spans="1:6" x14ac:dyDescent="0.35">
      <c r="A157" s="9" t="s">
        <v>860</v>
      </c>
      <c r="B157" s="9" t="s">
        <v>691</v>
      </c>
      <c r="C157" s="9" t="s">
        <v>733</v>
      </c>
      <c r="D157" s="10">
        <v>44.5</v>
      </c>
      <c r="E157" s="11" t="s">
        <v>693</v>
      </c>
      <c r="F157">
        <f t="shared" si="2"/>
        <v>210727</v>
      </c>
    </row>
    <row r="158" spans="1:6" x14ac:dyDescent="0.35">
      <c r="A158" s="9" t="s">
        <v>861</v>
      </c>
      <c r="B158" s="9" t="s">
        <v>691</v>
      </c>
      <c r="C158" s="9" t="s">
        <v>728</v>
      </c>
      <c r="D158" s="10">
        <v>57</v>
      </c>
      <c r="E158" s="11" t="s">
        <v>693</v>
      </c>
      <c r="F158">
        <f t="shared" si="2"/>
        <v>211804</v>
      </c>
    </row>
    <row r="159" spans="1:6" x14ac:dyDescent="0.35">
      <c r="A159" s="9" t="s">
        <v>862</v>
      </c>
      <c r="B159" s="9" t="s">
        <v>699</v>
      </c>
      <c r="C159" s="9" t="s">
        <v>700</v>
      </c>
      <c r="D159" s="10">
        <v>130</v>
      </c>
      <c r="E159" s="11" t="s">
        <v>693</v>
      </c>
      <c r="F159">
        <f t="shared" si="2"/>
        <v>211844</v>
      </c>
    </row>
    <row r="160" spans="1:6" x14ac:dyDescent="0.35">
      <c r="A160" s="9" t="s">
        <v>863</v>
      </c>
      <c r="B160" s="9" t="s">
        <v>691</v>
      </c>
      <c r="C160" s="9" t="s">
        <v>697</v>
      </c>
      <c r="D160" s="10">
        <v>142.5</v>
      </c>
      <c r="E160" s="11" t="s">
        <v>693</v>
      </c>
      <c r="F160">
        <f t="shared" si="2"/>
        <v>212785</v>
      </c>
    </row>
    <row r="161" spans="1:6" x14ac:dyDescent="0.35">
      <c r="A161" s="9" t="s">
        <v>864</v>
      </c>
      <c r="B161" s="9" t="s">
        <v>699</v>
      </c>
      <c r="C161" s="9" t="s">
        <v>700</v>
      </c>
      <c r="D161" s="10">
        <v>51</v>
      </c>
      <c r="E161" s="11" t="s">
        <v>693</v>
      </c>
      <c r="F161">
        <f t="shared" si="2"/>
        <v>213863</v>
      </c>
    </row>
    <row r="162" spans="1:6" x14ac:dyDescent="0.35">
      <c r="A162" s="9" t="s">
        <v>865</v>
      </c>
      <c r="B162" s="9" t="s">
        <v>691</v>
      </c>
      <c r="C162" s="9" t="s">
        <v>695</v>
      </c>
      <c r="D162" s="10">
        <v>84.5</v>
      </c>
      <c r="E162" s="11" t="s">
        <v>693</v>
      </c>
      <c r="F162">
        <f t="shared" si="2"/>
        <v>214557</v>
      </c>
    </row>
    <row r="163" spans="1:6" x14ac:dyDescent="0.35">
      <c r="A163" s="9" t="s">
        <v>866</v>
      </c>
      <c r="B163" s="9" t="s">
        <v>691</v>
      </c>
      <c r="C163" s="9" t="s">
        <v>695</v>
      </c>
      <c r="D163" s="10">
        <v>290.5</v>
      </c>
      <c r="E163" s="11" t="s">
        <v>693</v>
      </c>
      <c r="F163">
        <f t="shared" si="2"/>
        <v>215051</v>
      </c>
    </row>
    <row r="164" spans="1:6" x14ac:dyDescent="0.35">
      <c r="A164" s="9" t="s">
        <v>867</v>
      </c>
      <c r="B164" s="9" t="s">
        <v>691</v>
      </c>
      <c r="C164" s="9" t="s">
        <v>695</v>
      </c>
      <c r="D164" s="10">
        <v>36</v>
      </c>
      <c r="E164" s="11" t="s">
        <v>693</v>
      </c>
      <c r="F164">
        <f t="shared" si="2"/>
        <v>215984</v>
      </c>
    </row>
    <row r="165" spans="1:6" x14ac:dyDescent="0.35">
      <c r="A165" s="9" t="s">
        <v>868</v>
      </c>
      <c r="B165" s="9" t="s">
        <v>699</v>
      </c>
      <c r="C165" s="9" t="s">
        <v>709</v>
      </c>
      <c r="D165" s="10">
        <v>18</v>
      </c>
      <c r="E165" s="11" t="s">
        <v>693</v>
      </c>
      <c r="F165">
        <f t="shared" si="2"/>
        <v>216281</v>
      </c>
    </row>
    <row r="166" spans="1:6" x14ac:dyDescent="0.35">
      <c r="A166" s="9" t="s">
        <v>869</v>
      </c>
      <c r="B166" s="9" t="s">
        <v>720</v>
      </c>
      <c r="C166" s="9" t="s">
        <v>721</v>
      </c>
      <c r="D166" s="10">
        <v>30</v>
      </c>
      <c r="E166" s="11" t="s">
        <v>693</v>
      </c>
      <c r="F166">
        <f t="shared" si="2"/>
        <v>216783</v>
      </c>
    </row>
    <row r="167" spans="1:6" x14ac:dyDescent="0.35">
      <c r="A167" s="9" t="s">
        <v>870</v>
      </c>
      <c r="B167" s="9" t="s">
        <v>691</v>
      </c>
      <c r="C167" s="9" t="s">
        <v>695</v>
      </c>
      <c r="D167" s="10">
        <v>54.5</v>
      </c>
      <c r="E167" s="11" t="s">
        <v>693</v>
      </c>
      <c r="F167">
        <f t="shared" si="2"/>
        <v>216792</v>
      </c>
    </row>
    <row r="168" spans="1:6" x14ac:dyDescent="0.35">
      <c r="A168" s="9" t="s">
        <v>871</v>
      </c>
      <c r="B168" s="9" t="s">
        <v>720</v>
      </c>
      <c r="C168" s="9" t="s">
        <v>725</v>
      </c>
      <c r="D168" s="10">
        <v>18</v>
      </c>
      <c r="E168" s="11" t="s">
        <v>693</v>
      </c>
      <c r="F168">
        <f t="shared" si="2"/>
        <v>218041</v>
      </c>
    </row>
    <row r="169" spans="1:6" x14ac:dyDescent="0.35">
      <c r="A169" s="9" t="s">
        <v>872</v>
      </c>
      <c r="B169" s="9" t="s">
        <v>699</v>
      </c>
      <c r="C169" s="9" t="s">
        <v>702</v>
      </c>
      <c r="D169" s="10">
        <v>84</v>
      </c>
      <c r="E169" s="11" t="s">
        <v>693</v>
      </c>
      <c r="F169">
        <f t="shared" si="2"/>
        <v>221803</v>
      </c>
    </row>
    <row r="170" spans="1:6" x14ac:dyDescent="0.35">
      <c r="A170" s="9" t="s">
        <v>873</v>
      </c>
      <c r="B170" s="9" t="s">
        <v>691</v>
      </c>
      <c r="C170" s="9" t="s">
        <v>728</v>
      </c>
      <c r="D170" s="10">
        <v>330</v>
      </c>
      <c r="E170" s="11" t="s">
        <v>693</v>
      </c>
      <c r="F170">
        <f t="shared" si="2"/>
        <v>222319</v>
      </c>
    </row>
    <row r="171" spans="1:6" x14ac:dyDescent="0.35">
      <c r="A171" s="9" t="s">
        <v>874</v>
      </c>
      <c r="B171" s="9" t="s">
        <v>691</v>
      </c>
      <c r="C171" s="9" t="s">
        <v>692</v>
      </c>
      <c r="D171" s="10">
        <v>115</v>
      </c>
      <c r="E171" s="11" t="s">
        <v>693</v>
      </c>
      <c r="F171">
        <f t="shared" si="2"/>
        <v>222515</v>
      </c>
    </row>
    <row r="172" spans="1:6" x14ac:dyDescent="0.35">
      <c r="A172" s="9" t="s">
        <v>875</v>
      </c>
      <c r="B172" s="9" t="s">
        <v>699</v>
      </c>
      <c r="C172" s="9" t="s">
        <v>702</v>
      </c>
      <c r="D172" s="10">
        <v>171</v>
      </c>
      <c r="E172" s="11" t="s">
        <v>693</v>
      </c>
      <c r="F172">
        <f t="shared" si="2"/>
        <v>222614</v>
      </c>
    </row>
    <row r="173" spans="1:6" x14ac:dyDescent="0.35">
      <c r="A173" s="9" t="s">
        <v>876</v>
      </c>
      <c r="B173" s="9" t="s">
        <v>691</v>
      </c>
      <c r="C173" s="9" t="s">
        <v>740</v>
      </c>
      <c r="D173" s="10">
        <v>370</v>
      </c>
      <c r="E173" s="11" t="s">
        <v>693</v>
      </c>
      <c r="F173">
        <f t="shared" si="2"/>
        <v>223995</v>
      </c>
    </row>
    <row r="174" spans="1:6" x14ac:dyDescent="0.35">
      <c r="A174" s="9" t="s">
        <v>877</v>
      </c>
      <c r="B174" s="9" t="s">
        <v>720</v>
      </c>
      <c r="C174" s="9" t="s">
        <v>725</v>
      </c>
      <c r="D174" s="10">
        <v>31.5</v>
      </c>
      <c r="E174" s="11" t="s">
        <v>693</v>
      </c>
      <c r="F174">
        <f t="shared" si="2"/>
        <v>224590</v>
      </c>
    </row>
    <row r="175" spans="1:6" x14ac:dyDescent="0.35">
      <c r="A175" s="9" t="s">
        <v>878</v>
      </c>
      <c r="B175" s="9" t="s">
        <v>699</v>
      </c>
      <c r="C175" s="9" t="s">
        <v>702</v>
      </c>
      <c r="D175" s="10">
        <v>280</v>
      </c>
      <c r="E175" s="11" t="s">
        <v>693</v>
      </c>
      <c r="F175">
        <f t="shared" si="2"/>
        <v>224595</v>
      </c>
    </row>
    <row r="176" spans="1:6" x14ac:dyDescent="0.35">
      <c r="A176" s="9" t="s">
        <v>879</v>
      </c>
      <c r="B176" s="9" t="s">
        <v>699</v>
      </c>
      <c r="C176" s="9" t="s">
        <v>700</v>
      </c>
      <c r="D176" s="10">
        <v>72</v>
      </c>
      <c r="E176" s="11" t="s">
        <v>693</v>
      </c>
      <c r="F176">
        <f t="shared" si="2"/>
        <v>225490</v>
      </c>
    </row>
    <row r="177" spans="1:6" x14ac:dyDescent="0.35">
      <c r="A177" s="9" t="s">
        <v>880</v>
      </c>
      <c r="B177" s="9" t="s">
        <v>699</v>
      </c>
      <c r="C177" s="9" t="s">
        <v>702</v>
      </c>
      <c r="D177" s="10">
        <v>36</v>
      </c>
      <c r="E177" s="11" t="s">
        <v>693</v>
      </c>
      <c r="F177">
        <f t="shared" si="2"/>
        <v>225492</v>
      </c>
    </row>
    <row r="178" spans="1:6" x14ac:dyDescent="0.35">
      <c r="A178" s="9" t="s">
        <v>881</v>
      </c>
      <c r="B178" s="9" t="s">
        <v>699</v>
      </c>
      <c r="C178" s="9" t="s">
        <v>702</v>
      </c>
      <c r="D178" s="10">
        <v>21.5</v>
      </c>
      <c r="E178" s="11" t="s">
        <v>693</v>
      </c>
      <c r="F178">
        <f t="shared" si="2"/>
        <v>226104</v>
      </c>
    </row>
    <row r="179" spans="1:6" x14ac:dyDescent="0.35">
      <c r="A179" s="9" t="s">
        <v>882</v>
      </c>
      <c r="B179" s="9" t="s">
        <v>699</v>
      </c>
      <c r="C179" s="9" t="s">
        <v>700</v>
      </c>
      <c r="D179" s="10">
        <v>130</v>
      </c>
      <c r="E179" s="11" t="s">
        <v>693</v>
      </c>
      <c r="F179">
        <f t="shared" si="2"/>
        <v>226334</v>
      </c>
    </row>
    <row r="180" spans="1:6" x14ac:dyDescent="0.35">
      <c r="A180" s="9" t="s">
        <v>883</v>
      </c>
      <c r="B180" s="9" t="s">
        <v>720</v>
      </c>
      <c r="C180" s="9" t="s">
        <v>721</v>
      </c>
      <c r="D180" s="10">
        <v>35</v>
      </c>
      <c r="E180" s="11" t="s">
        <v>693</v>
      </c>
      <c r="F180">
        <f t="shared" si="2"/>
        <v>226485</v>
      </c>
    </row>
    <row r="181" spans="1:6" x14ac:dyDescent="0.35">
      <c r="A181" s="9" t="s">
        <v>884</v>
      </c>
      <c r="B181" s="9" t="s">
        <v>691</v>
      </c>
      <c r="C181" s="9" t="s">
        <v>733</v>
      </c>
      <c r="D181" s="10">
        <v>260</v>
      </c>
      <c r="E181" s="11" t="s">
        <v>693</v>
      </c>
      <c r="F181">
        <f t="shared" si="2"/>
        <v>226494</v>
      </c>
    </row>
    <row r="182" spans="1:6" x14ac:dyDescent="0.35">
      <c r="A182" s="9" t="s">
        <v>885</v>
      </c>
      <c r="B182" s="9" t="s">
        <v>699</v>
      </c>
      <c r="C182" s="9" t="s">
        <v>709</v>
      </c>
      <c r="D182" s="10">
        <v>31</v>
      </c>
      <c r="E182" s="11" t="s">
        <v>693</v>
      </c>
      <c r="F182">
        <f t="shared" si="2"/>
        <v>227265</v>
      </c>
    </row>
    <row r="183" spans="1:6" x14ac:dyDescent="0.35">
      <c r="A183" s="9" t="s">
        <v>886</v>
      </c>
      <c r="B183" s="9" t="s">
        <v>699</v>
      </c>
      <c r="C183" s="9" t="s">
        <v>702</v>
      </c>
      <c r="D183" s="10">
        <v>158</v>
      </c>
      <c r="E183" s="11" t="s">
        <v>693</v>
      </c>
      <c r="F183">
        <f t="shared" si="2"/>
        <v>227915</v>
      </c>
    </row>
    <row r="184" spans="1:6" x14ac:dyDescent="0.35">
      <c r="A184" s="9" t="s">
        <v>887</v>
      </c>
      <c r="B184" s="9" t="s">
        <v>699</v>
      </c>
      <c r="C184" s="9" t="s">
        <v>702</v>
      </c>
      <c r="D184" s="10">
        <v>59.5</v>
      </c>
      <c r="E184" s="11" t="s">
        <v>693</v>
      </c>
      <c r="F184">
        <f t="shared" si="2"/>
        <v>229160</v>
      </c>
    </row>
    <row r="185" spans="1:6" x14ac:dyDescent="0.35">
      <c r="A185" s="9" t="s">
        <v>888</v>
      </c>
      <c r="B185" s="9" t="s">
        <v>720</v>
      </c>
      <c r="C185" s="9" t="s">
        <v>725</v>
      </c>
      <c r="D185" s="10">
        <v>81.5</v>
      </c>
      <c r="E185" s="11" t="s">
        <v>693</v>
      </c>
      <c r="F185">
        <f t="shared" si="2"/>
        <v>231151</v>
      </c>
    </row>
    <row r="186" spans="1:6" x14ac:dyDescent="0.35">
      <c r="A186" s="9" t="s">
        <v>889</v>
      </c>
      <c r="B186" s="9" t="s">
        <v>691</v>
      </c>
      <c r="C186" s="9" t="s">
        <v>695</v>
      </c>
      <c r="D186" s="10">
        <v>357</v>
      </c>
      <c r="E186" s="11" t="s">
        <v>693</v>
      </c>
      <c r="F186">
        <f t="shared" si="2"/>
        <v>233737</v>
      </c>
    </row>
    <row r="187" spans="1:6" x14ac:dyDescent="0.35">
      <c r="A187" s="9" t="s">
        <v>890</v>
      </c>
      <c r="B187" s="9" t="s">
        <v>691</v>
      </c>
      <c r="C187" s="9" t="s">
        <v>740</v>
      </c>
      <c r="D187" s="10">
        <v>81</v>
      </c>
      <c r="E187" s="11" t="s">
        <v>693</v>
      </c>
      <c r="F187">
        <f t="shared" si="2"/>
        <v>234891</v>
      </c>
    </row>
    <row r="188" spans="1:6" x14ac:dyDescent="0.35">
      <c r="A188" s="9" t="s">
        <v>891</v>
      </c>
      <c r="B188" s="9" t="s">
        <v>691</v>
      </c>
      <c r="C188" s="9" t="s">
        <v>692</v>
      </c>
      <c r="D188" s="10">
        <v>21</v>
      </c>
      <c r="E188" s="11" t="s">
        <v>693</v>
      </c>
      <c r="F188">
        <f t="shared" si="2"/>
        <v>234970</v>
      </c>
    </row>
    <row r="189" spans="1:6" x14ac:dyDescent="0.35">
      <c r="A189" s="9" t="s">
        <v>892</v>
      </c>
      <c r="B189" s="9" t="s">
        <v>699</v>
      </c>
      <c r="C189" s="9" t="s">
        <v>709</v>
      </c>
      <c r="D189" s="10">
        <v>6</v>
      </c>
      <c r="E189" s="11" t="s">
        <v>693</v>
      </c>
      <c r="F189">
        <f t="shared" si="2"/>
        <v>241522</v>
      </c>
    </row>
    <row r="190" spans="1:6" x14ac:dyDescent="0.35">
      <c r="A190" s="9" t="s">
        <v>893</v>
      </c>
      <c r="B190" s="9" t="s">
        <v>691</v>
      </c>
      <c r="C190" s="9" t="s">
        <v>740</v>
      </c>
      <c r="D190" s="10">
        <v>170</v>
      </c>
      <c r="E190" s="11" t="s">
        <v>693</v>
      </c>
      <c r="F190">
        <f t="shared" si="2"/>
        <v>242000</v>
      </c>
    </row>
    <row r="191" spans="1:6" x14ac:dyDescent="0.35">
      <c r="A191" s="9" t="s">
        <v>894</v>
      </c>
      <c r="B191" s="9" t="s">
        <v>720</v>
      </c>
      <c r="C191" s="9" t="s">
        <v>721</v>
      </c>
      <c r="D191" s="10">
        <v>31</v>
      </c>
      <c r="E191" s="11" t="s">
        <v>693</v>
      </c>
      <c r="F191">
        <f t="shared" si="2"/>
        <v>243557</v>
      </c>
    </row>
    <row r="192" spans="1:6" x14ac:dyDescent="0.35">
      <c r="A192" s="9" t="s">
        <v>895</v>
      </c>
      <c r="B192" s="9" t="s">
        <v>699</v>
      </c>
      <c r="C192" s="9" t="s">
        <v>700</v>
      </c>
      <c r="D192" s="10">
        <v>180</v>
      </c>
      <c r="E192" s="11" t="s">
        <v>693</v>
      </c>
      <c r="F192">
        <f t="shared" si="2"/>
        <v>244722</v>
      </c>
    </row>
    <row r="193" spans="1:6" x14ac:dyDescent="0.35">
      <c r="A193" s="9" t="s">
        <v>896</v>
      </c>
      <c r="B193" s="9" t="s">
        <v>691</v>
      </c>
      <c r="C193" s="9" t="s">
        <v>728</v>
      </c>
      <c r="D193" s="10">
        <v>12</v>
      </c>
      <c r="E193" s="11" t="s">
        <v>693</v>
      </c>
      <c r="F193">
        <f t="shared" si="2"/>
        <v>244733</v>
      </c>
    </row>
    <row r="194" spans="1:6" x14ac:dyDescent="0.35">
      <c r="A194" s="9" t="s">
        <v>897</v>
      </c>
      <c r="B194" s="9" t="s">
        <v>691</v>
      </c>
      <c r="C194" s="9" t="s">
        <v>695</v>
      </c>
      <c r="D194" s="10">
        <v>88.5</v>
      </c>
      <c r="E194" s="11" t="s">
        <v>693</v>
      </c>
      <c r="F194">
        <f t="shared" si="2"/>
        <v>246627</v>
      </c>
    </row>
    <row r="195" spans="1:6" x14ac:dyDescent="0.35">
      <c r="A195" s="9" t="s">
        <v>898</v>
      </c>
      <c r="B195" s="9" t="s">
        <v>691</v>
      </c>
      <c r="C195" s="9" t="s">
        <v>697</v>
      </c>
      <c r="D195" s="10">
        <v>33</v>
      </c>
      <c r="E195" s="11" t="s">
        <v>693</v>
      </c>
      <c r="F195">
        <f t="shared" ref="F195:F258" si="3">VALUE(LEFT(A195,FIND(" ",A195)-1))</f>
        <v>247371</v>
      </c>
    </row>
    <row r="196" spans="1:6" x14ac:dyDescent="0.35">
      <c r="A196" s="9" t="s">
        <v>899</v>
      </c>
      <c r="B196" s="9" t="s">
        <v>691</v>
      </c>
      <c r="C196" s="9" t="s">
        <v>697</v>
      </c>
      <c r="D196" s="10">
        <v>53</v>
      </c>
      <c r="E196" s="11" t="s">
        <v>693</v>
      </c>
      <c r="F196">
        <f t="shared" si="3"/>
        <v>247504</v>
      </c>
    </row>
    <row r="197" spans="1:6" x14ac:dyDescent="0.35">
      <c r="A197" s="9" t="s">
        <v>900</v>
      </c>
      <c r="B197" s="9" t="s">
        <v>691</v>
      </c>
      <c r="C197" s="9" t="s">
        <v>697</v>
      </c>
      <c r="D197" s="10">
        <v>9</v>
      </c>
      <c r="E197" s="11" t="s">
        <v>693</v>
      </c>
      <c r="F197">
        <f t="shared" si="3"/>
        <v>248455</v>
      </c>
    </row>
    <row r="198" spans="1:6" x14ac:dyDescent="0.35">
      <c r="A198" s="9" t="s">
        <v>901</v>
      </c>
      <c r="B198" s="9" t="s">
        <v>699</v>
      </c>
      <c r="C198" s="9" t="s">
        <v>709</v>
      </c>
      <c r="D198" s="10">
        <v>75</v>
      </c>
      <c r="E198" s="11" t="s">
        <v>693</v>
      </c>
      <c r="F198">
        <f t="shared" si="3"/>
        <v>251092</v>
      </c>
    </row>
    <row r="199" spans="1:6" x14ac:dyDescent="0.35">
      <c r="A199" s="9" t="s">
        <v>902</v>
      </c>
      <c r="B199" s="9" t="s">
        <v>720</v>
      </c>
      <c r="C199" s="9" t="s">
        <v>721</v>
      </c>
      <c r="D199" s="10">
        <v>137</v>
      </c>
      <c r="E199" s="11" t="s">
        <v>693</v>
      </c>
      <c r="F199">
        <f t="shared" si="3"/>
        <v>253797</v>
      </c>
    </row>
    <row r="200" spans="1:6" x14ac:dyDescent="0.35">
      <c r="A200" s="9" t="s">
        <v>903</v>
      </c>
      <c r="B200" s="9" t="s">
        <v>720</v>
      </c>
      <c r="C200" s="9" t="s">
        <v>725</v>
      </c>
      <c r="D200" s="10">
        <v>130</v>
      </c>
      <c r="E200" s="11" t="s">
        <v>693</v>
      </c>
      <c r="F200">
        <f t="shared" si="3"/>
        <v>255618</v>
      </c>
    </row>
    <row r="201" spans="1:6" x14ac:dyDescent="0.35">
      <c r="A201" s="9" t="s">
        <v>904</v>
      </c>
      <c r="B201" s="9" t="s">
        <v>699</v>
      </c>
      <c r="C201" s="9" t="s">
        <v>700</v>
      </c>
      <c r="D201" s="10">
        <v>129.5</v>
      </c>
      <c r="E201" s="11" t="s">
        <v>693</v>
      </c>
      <c r="F201">
        <f t="shared" si="3"/>
        <v>255667</v>
      </c>
    </row>
    <row r="202" spans="1:6" x14ac:dyDescent="0.35">
      <c r="A202" s="9" t="s">
        <v>905</v>
      </c>
      <c r="B202" s="9" t="s">
        <v>699</v>
      </c>
      <c r="C202" s="9" t="s">
        <v>700</v>
      </c>
      <c r="D202" s="10">
        <v>60</v>
      </c>
      <c r="E202" s="11" t="s">
        <v>693</v>
      </c>
      <c r="F202">
        <f t="shared" si="3"/>
        <v>256437</v>
      </c>
    </row>
    <row r="203" spans="1:6" x14ac:dyDescent="0.35">
      <c r="A203" s="9" t="s">
        <v>906</v>
      </c>
      <c r="B203" s="9" t="s">
        <v>699</v>
      </c>
      <c r="C203" s="9" t="s">
        <v>700</v>
      </c>
      <c r="D203" s="10">
        <v>105</v>
      </c>
      <c r="E203" s="11" t="s">
        <v>693</v>
      </c>
      <c r="F203">
        <f t="shared" si="3"/>
        <v>256443</v>
      </c>
    </row>
    <row r="204" spans="1:6" x14ac:dyDescent="0.35">
      <c r="A204" s="9" t="s">
        <v>907</v>
      </c>
      <c r="B204" s="9" t="s">
        <v>691</v>
      </c>
      <c r="C204" s="9" t="s">
        <v>692</v>
      </c>
      <c r="D204" s="10">
        <v>62</v>
      </c>
      <c r="E204" s="11" t="s">
        <v>693</v>
      </c>
      <c r="F204">
        <f t="shared" si="3"/>
        <v>256518</v>
      </c>
    </row>
    <row r="205" spans="1:6" x14ac:dyDescent="0.35">
      <c r="A205" s="9" t="s">
        <v>908</v>
      </c>
      <c r="B205" s="9" t="s">
        <v>720</v>
      </c>
      <c r="C205" s="9" t="s">
        <v>721</v>
      </c>
      <c r="D205" s="10">
        <v>36</v>
      </c>
      <c r="E205" s="11" t="s">
        <v>693</v>
      </c>
      <c r="F205">
        <f t="shared" si="3"/>
        <v>257379</v>
      </c>
    </row>
    <row r="206" spans="1:6" x14ac:dyDescent="0.35">
      <c r="A206" s="9" t="s">
        <v>909</v>
      </c>
      <c r="B206" s="9" t="s">
        <v>691</v>
      </c>
      <c r="C206" s="9" t="s">
        <v>697</v>
      </c>
      <c r="D206" s="10">
        <v>110</v>
      </c>
      <c r="E206" s="11" t="s">
        <v>693</v>
      </c>
      <c r="F206">
        <f t="shared" si="3"/>
        <v>257425</v>
      </c>
    </row>
    <row r="207" spans="1:6" x14ac:dyDescent="0.35">
      <c r="A207" s="9" t="s">
        <v>910</v>
      </c>
      <c r="B207" s="9" t="s">
        <v>691</v>
      </c>
      <c r="C207" s="9" t="s">
        <v>728</v>
      </c>
      <c r="D207" s="10">
        <v>86</v>
      </c>
      <c r="E207" s="11" t="s">
        <v>693</v>
      </c>
      <c r="F207">
        <f t="shared" si="3"/>
        <v>258692</v>
      </c>
    </row>
    <row r="208" spans="1:6" x14ac:dyDescent="0.35">
      <c r="A208" s="9" t="s">
        <v>911</v>
      </c>
      <c r="B208" s="9" t="s">
        <v>691</v>
      </c>
      <c r="C208" s="9" t="s">
        <v>740</v>
      </c>
      <c r="D208" s="10">
        <v>237</v>
      </c>
      <c r="E208" s="11" t="s">
        <v>693</v>
      </c>
      <c r="F208">
        <f t="shared" si="3"/>
        <v>258697</v>
      </c>
    </row>
    <row r="209" spans="1:6" x14ac:dyDescent="0.35">
      <c r="A209" s="9" t="s">
        <v>912</v>
      </c>
      <c r="B209" s="9" t="s">
        <v>699</v>
      </c>
      <c r="C209" s="9" t="s">
        <v>709</v>
      </c>
      <c r="D209" s="10">
        <v>153</v>
      </c>
      <c r="E209" s="11" t="s">
        <v>693</v>
      </c>
      <c r="F209">
        <f t="shared" si="3"/>
        <v>258712</v>
      </c>
    </row>
    <row r="210" spans="1:6" x14ac:dyDescent="0.35">
      <c r="A210" s="9" t="s">
        <v>913</v>
      </c>
      <c r="B210" s="9" t="s">
        <v>699</v>
      </c>
      <c r="C210" s="9" t="s">
        <v>702</v>
      </c>
      <c r="D210" s="10">
        <v>120</v>
      </c>
      <c r="E210" s="11" t="s">
        <v>693</v>
      </c>
      <c r="F210">
        <f t="shared" si="3"/>
        <v>260035</v>
      </c>
    </row>
    <row r="211" spans="1:6" x14ac:dyDescent="0.35">
      <c r="A211" s="9" t="s">
        <v>914</v>
      </c>
      <c r="B211" s="9" t="s">
        <v>691</v>
      </c>
      <c r="C211" s="9" t="s">
        <v>728</v>
      </c>
      <c r="D211" s="10">
        <v>57</v>
      </c>
      <c r="E211" s="11" t="s">
        <v>693</v>
      </c>
      <c r="F211">
        <f t="shared" si="3"/>
        <v>260257</v>
      </c>
    </row>
    <row r="212" spans="1:6" x14ac:dyDescent="0.35">
      <c r="A212" s="9" t="s">
        <v>915</v>
      </c>
      <c r="B212" s="9" t="s">
        <v>691</v>
      </c>
      <c r="C212" s="9" t="s">
        <v>692</v>
      </c>
      <c r="D212" s="10">
        <v>45</v>
      </c>
      <c r="E212" s="11" t="s">
        <v>693</v>
      </c>
      <c r="F212">
        <f t="shared" si="3"/>
        <v>260333</v>
      </c>
    </row>
    <row r="213" spans="1:6" x14ac:dyDescent="0.35">
      <c r="A213" s="9" t="s">
        <v>916</v>
      </c>
      <c r="B213" s="9" t="s">
        <v>691</v>
      </c>
      <c r="C213" s="9" t="s">
        <v>733</v>
      </c>
      <c r="D213" s="10">
        <v>45</v>
      </c>
      <c r="E213" s="11" t="s">
        <v>693</v>
      </c>
      <c r="F213">
        <f t="shared" si="3"/>
        <v>260363</v>
      </c>
    </row>
    <row r="214" spans="1:6" x14ac:dyDescent="0.35">
      <c r="A214" s="9" t="s">
        <v>917</v>
      </c>
      <c r="B214" s="9" t="s">
        <v>720</v>
      </c>
      <c r="C214" s="9" t="s">
        <v>725</v>
      </c>
      <c r="D214" s="10">
        <v>33</v>
      </c>
      <c r="E214" s="11" t="s">
        <v>693</v>
      </c>
      <c r="F214">
        <f t="shared" si="3"/>
        <v>260966</v>
      </c>
    </row>
    <row r="215" spans="1:6" x14ac:dyDescent="0.35">
      <c r="A215" s="9" t="s">
        <v>918</v>
      </c>
      <c r="B215" s="9" t="s">
        <v>720</v>
      </c>
      <c r="C215" s="9" t="s">
        <v>725</v>
      </c>
      <c r="D215" s="10">
        <v>39</v>
      </c>
      <c r="E215" s="11" t="s">
        <v>693</v>
      </c>
      <c r="F215">
        <f t="shared" si="3"/>
        <v>260987</v>
      </c>
    </row>
    <row r="216" spans="1:6" x14ac:dyDescent="0.35">
      <c r="A216" s="9" t="s">
        <v>919</v>
      </c>
      <c r="B216" s="9" t="s">
        <v>691</v>
      </c>
      <c r="C216" s="9" t="s">
        <v>733</v>
      </c>
      <c r="D216" s="10">
        <v>72</v>
      </c>
      <c r="E216" s="11" t="s">
        <v>693</v>
      </c>
      <c r="F216">
        <f t="shared" si="3"/>
        <v>262399</v>
      </c>
    </row>
    <row r="217" spans="1:6" x14ac:dyDescent="0.35">
      <c r="A217" s="9" t="s">
        <v>920</v>
      </c>
      <c r="B217" s="9" t="s">
        <v>691</v>
      </c>
      <c r="C217" s="9" t="s">
        <v>728</v>
      </c>
      <c r="D217" s="10">
        <v>146.5</v>
      </c>
      <c r="E217" s="11" t="s">
        <v>693</v>
      </c>
      <c r="F217">
        <f t="shared" si="3"/>
        <v>262928</v>
      </c>
    </row>
    <row r="218" spans="1:6" x14ac:dyDescent="0.35">
      <c r="A218" s="9" t="s">
        <v>921</v>
      </c>
      <c r="B218" s="9" t="s">
        <v>691</v>
      </c>
      <c r="C218" s="9" t="s">
        <v>728</v>
      </c>
      <c r="D218" s="10">
        <v>24</v>
      </c>
      <c r="E218" s="11" t="s">
        <v>693</v>
      </c>
      <c r="F218">
        <f t="shared" si="3"/>
        <v>263450</v>
      </c>
    </row>
    <row r="219" spans="1:6" x14ac:dyDescent="0.35">
      <c r="A219" s="9" t="s">
        <v>922</v>
      </c>
      <c r="B219" s="9" t="s">
        <v>720</v>
      </c>
      <c r="C219" s="9" t="s">
        <v>721</v>
      </c>
      <c r="D219" s="10">
        <v>45</v>
      </c>
      <c r="E219" s="11" t="s">
        <v>693</v>
      </c>
      <c r="F219">
        <f t="shared" si="3"/>
        <v>264117</v>
      </c>
    </row>
    <row r="220" spans="1:6" x14ac:dyDescent="0.35">
      <c r="A220" s="9" t="s">
        <v>923</v>
      </c>
      <c r="B220" s="9" t="s">
        <v>691</v>
      </c>
      <c r="C220" s="9" t="s">
        <v>733</v>
      </c>
      <c r="D220" s="10">
        <v>69</v>
      </c>
      <c r="E220" s="11" t="s">
        <v>693</v>
      </c>
      <c r="F220">
        <f t="shared" si="3"/>
        <v>264152</v>
      </c>
    </row>
    <row r="221" spans="1:6" x14ac:dyDescent="0.35">
      <c r="A221" s="9" t="s">
        <v>924</v>
      </c>
      <c r="B221" s="9" t="s">
        <v>691</v>
      </c>
      <c r="C221" s="9" t="s">
        <v>728</v>
      </c>
      <c r="D221" s="10">
        <v>177</v>
      </c>
      <c r="E221" s="11" t="s">
        <v>693</v>
      </c>
      <c r="F221">
        <f t="shared" si="3"/>
        <v>264781</v>
      </c>
    </row>
    <row r="222" spans="1:6" x14ac:dyDescent="0.35">
      <c r="A222" s="9" t="s">
        <v>925</v>
      </c>
      <c r="B222" s="9" t="s">
        <v>691</v>
      </c>
      <c r="C222" s="9" t="s">
        <v>697</v>
      </c>
      <c r="D222" s="10">
        <v>59</v>
      </c>
      <c r="E222" s="11" t="s">
        <v>693</v>
      </c>
      <c r="F222">
        <f t="shared" si="3"/>
        <v>264805</v>
      </c>
    </row>
    <row r="223" spans="1:6" x14ac:dyDescent="0.35">
      <c r="A223" s="9" t="s">
        <v>926</v>
      </c>
      <c r="B223" s="9" t="s">
        <v>691</v>
      </c>
      <c r="C223" s="9" t="s">
        <v>733</v>
      </c>
      <c r="D223" s="10">
        <v>60</v>
      </c>
      <c r="E223" s="11" t="s">
        <v>693</v>
      </c>
      <c r="F223">
        <f t="shared" si="3"/>
        <v>264823</v>
      </c>
    </row>
    <row r="224" spans="1:6" x14ac:dyDescent="0.35">
      <c r="A224" s="9" t="s">
        <v>927</v>
      </c>
      <c r="B224" s="9" t="s">
        <v>720</v>
      </c>
      <c r="C224" s="9" t="s">
        <v>725</v>
      </c>
      <c r="D224" s="10">
        <v>105</v>
      </c>
      <c r="E224" s="11" t="s">
        <v>693</v>
      </c>
      <c r="F224">
        <f t="shared" si="3"/>
        <v>265345</v>
      </c>
    </row>
    <row r="225" spans="1:6" x14ac:dyDescent="0.35">
      <c r="A225" s="9" t="s">
        <v>928</v>
      </c>
      <c r="B225" s="9" t="s">
        <v>699</v>
      </c>
      <c r="C225" s="9" t="s">
        <v>702</v>
      </c>
      <c r="D225" s="10">
        <v>127.5</v>
      </c>
      <c r="E225" s="11" t="s">
        <v>693</v>
      </c>
      <c r="F225">
        <f t="shared" si="3"/>
        <v>265363</v>
      </c>
    </row>
    <row r="226" spans="1:6" x14ac:dyDescent="0.35">
      <c r="A226" s="9" t="s">
        <v>929</v>
      </c>
      <c r="B226" s="9" t="s">
        <v>691</v>
      </c>
      <c r="C226" s="9" t="s">
        <v>728</v>
      </c>
      <c r="D226" s="10">
        <v>55</v>
      </c>
      <c r="E226" s="11" t="s">
        <v>693</v>
      </c>
      <c r="F226">
        <f t="shared" si="3"/>
        <v>265453</v>
      </c>
    </row>
    <row r="227" spans="1:6" x14ac:dyDescent="0.35">
      <c r="A227" s="9" t="s">
        <v>930</v>
      </c>
      <c r="B227" s="9" t="s">
        <v>691</v>
      </c>
      <c r="C227" s="9" t="s">
        <v>733</v>
      </c>
      <c r="D227" s="10">
        <v>48</v>
      </c>
      <c r="E227" s="11" t="s">
        <v>693</v>
      </c>
      <c r="F227">
        <f t="shared" si="3"/>
        <v>265455</v>
      </c>
    </row>
    <row r="228" spans="1:6" x14ac:dyDescent="0.35">
      <c r="A228" s="9" t="s">
        <v>931</v>
      </c>
      <c r="B228" s="9" t="s">
        <v>691</v>
      </c>
      <c r="C228" s="9" t="s">
        <v>697</v>
      </c>
      <c r="D228" s="10">
        <v>56.5</v>
      </c>
      <c r="E228" s="11" t="s">
        <v>693</v>
      </c>
      <c r="F228">
        <f t="shared" si="3"/>
        <v>265522</v>
      </c>
    </row>
    <row r="229" spans="1:6" x14ac:dyDescent="0.35">
      <c r="A229" s="9" t="s">
        <v>932</v>
      </c>
      <c r="B229" s="9" t="s">
        <v>691</v>
      </c>
      <c r="C229" s="9" t="s">
        <v>740</v>
      </c>
      <c r="D229" s="10">
        <v>615</v>
      </c>
      <c r="E229" s="11" t="s">
        <v>693</v>
      </c>
      <c r="F229">
        <f t="shared" si="3"/>
        <v>265541</v>
      </c>
    </row>
    <row r="230" spans="1:6" x14ac:dyDescent="0.35">
      <c r="A230" s="9" t="s">
        <v>933</v>
      </c>
      <c r="B230" s="9" t="s">
        <v>691</v>
      </c>
      <c r="C230" s="9" t="s">
        <v>733</v>
      </c>
      <c r="D230" s="10">
        <v>70</v>
      </c>
      <c r="E230" s="11" t="s">
        <v>693</v>
      </c>
      <c r="F230">
        <f t="shared" si="3"/>
        <v>265564</v>
      </c>
    </row>
    <row r="231" spans="1:6" x14ac:dyDescent="0.35">
      <c r="A231" s="9" t="s">
        <v>934</v>
      </c>
      <c r="B231" s="9" t="s">
        <v>691</v>
      </c>
      <c r="C231" s="9" t="s">
        <v>733</v>
      </c>
      <c r="D231" s="10">
        <v>38.5</v>
      </c>
      <c r="E231" s="11" t="s">
        <v>693</v>
      </c>
      <c r="F231">
        <f t="shared" si="3"/>
        <v>265916</v>
      </c>
    </row>
    <row r="232" spans="1:6" x14ac:dyDescent="0.35">
      <c r="A232" s="9" t="s">
        <v>935</v>
      </c>
      <c r="B232" s="9" t="s">
        <v>720</v>
      </c>
      <c r="C232" s="9" t="s">
        <v>725</v>
      </c>
      <c r="D232" s="10">
        <v>81</v>
      </c>
      <c r="E232" s="11" t="s">
        <v>693</v>
      </c>
      <c r="F232">
        <f t="shared" si="3"/>
        <v>266145</v>
      </c>
    </row>
    <row r="233" spans="1:6" x14ac:dyDescent="0.35">
      <c r="A233" s="9" t="s">
        <v>936</v>
      </c>
      <c r="B233" s="9" t="s">
        <v>720</v>
      </c>
      <c r="C233" s="9" t="s">
        <v>725</v>
      </c>
      <c r="D233" s="10">
        <v>47</v>
      </c>
      <c r="E233" s="11" t="s">
        <v>693</v>
      </c>
      <c r="F233">
        <f t="shared" si="3"/>
        <v>266147</v>
      </c>
    </row>
    <row r="234" spans="1:6" x14ac:dyDescent="0.35">
      <c r="A234" s="9" t="s">
        <v>937</v>
      </c>
      <c r="B234" s="9" t="s">
        <v>720</v>
      </c>
      <c r="C234" s="9" t="s">
        <v>721</v>
      </c>
      <c r="D234" s="10">
        <v>30</v>
      </c>
      <c r="E234" s="11" t="s">
        <v>693</v>
      </c>
      <c r="F234">
        <f t="shared" si="3"/>
        <v>266148</v>
      </c>
    </row>
    <row r="235" spans="1:6" x14ac:dyDescent="0.35">
      <c r="A235" s="9" t="s">
        <v>938</v>
      </c>
      <c r="B235" s="9" t="s">
        <v>699</v>
      </c>
      <c r="C235" s="9" t="s">
        <v>709</v>
      </c>
      <c r="D235" s="10">
        <v>15</v>
      </c>
      <c r="E235" s="11" t="s">
        <v>693</v>
      </c>
      <c r="F235">
        <f t="shared" si="3"/>
        <v>266517</v>
      </c>
    </row>
    <row r="236" spans="1:6" x14ac:dyDescent="0.35">
      <c r="A236" s="9" t="s">
        <v>939</v>
      </c>
      <c r="B236" s="9" t="s">
        <v>691</v>
      </c>
      <c r="C236" s="9" t="s">
        <v>728</v>
      </c>
      <c r="D236" s="10">
        <v>81</v>
      </c>
      <c r="E236" s="11" t="s">
        <v>693</v>
      </c>
      <c r="F236">
        <f t="shared" si="3"/>
        <v>266553</v>
      </c>
    </row>
    <row r="237" spans="1:6" x14ac:dyDescent="0.35">
      <c r="A237" s="9" t="s">
        <v>940</v>
      </c>
      <c r="B237" s="9" t="s">
        <v>720</v>
      </c>
      <c r="C237" s="9" t="s">
        <v>725</v>
      </c>
      <c r="D237" s="10">
        <v>45</v>
      </c>
      <c r="E237" s="11" t="s">
        <v>693</v>
      </c>
      <c r="F237">
        <f t="shared" si="3"/>
        <v>266557</v>
      </c>
    </row>
    <row r="238" spans="1:6" x14ac:dyDescent="0.35">
      <c r="A238" s="9" t="s">
        <v>941</v>
      </c>
      <c r="B238" s="9" t="s">
        <v>720</v>
      </c>
      <c r="C238" s="9" t="s">
        <v>725</v>
      </c>
      <c r="D238" s="10">
        <v>90</v>
      </c>
      <c r="E238" s="11" t="s">
        <v>693</v>
      </c>
      <c r="F238">
        <f t="shared" si="3"/>
        <v>267352</v>
      </c>
    </row>
    <row r="239" spans="1:6" x14ac:dyDescent="0.35">
      <c r="A239" s="9" t="s">
        <v>942</v>
      </c>
      <c r="B239" s="9" t="s">
        <v>691</v>
      </c>
      <c r="C239" s="9" t="s">
        <v>733</v>
      </c>
      <c r="D239" s="10">
        <v>38</v>
      </c>
      <c r="E239" s="11" t="s">
        <v>693</v>
      </c>
      <c r="F239">
        <f t="shared" si="3"/>
        <v>267359</v>
      </c>
    </row>
    <row r="240" spans="1:6" x14ac:dyDescent="0.35">
      <c r="A240" s="9" t="s">
        <v>943</v>
      </c>
      <c r="B240" s="9" t="s">
        <v>691</v>
      </c>
      <c r="C240" s="9" t="s">
        <v>692</v>
      </c>
      <c r="D240" s="10">
        <v>42</v>
      </c>
      <c r="E240" s="11" t="s">
        <v>693</v>
      </c>
      <c r="F240">
        <f t="shared" si="3"/>
        <v>267555</v>
      </c>
    </row>
    <row r="241" spans="1:6" x14ac:dyDescent="0.35">
      <c r="A241" s="9" t="s">
        <v>944</v>
      </c>
      <c r="B241" s="9" t="s">
        <v>691</v>
      </c>
      <c r="C241" s="9" t="s">
        <v>733</v>
      </c>
      <c r="D241" s="10">
        <v>78</v>
      </c>
      <c r="E241" s="11" t="s">
        <v>693</v>
      </c>
      <c r="F241">
        <f t="shared" si="3"/>
        <v>268059</v>
      </c>
    </row>
    <row r="242" spans="1:6" x14ac:dyDescent="0.35">
      <c r="A242" s="9" t="s">
        <v>945</v>
      </c>
      <c r="B242" s="9" t="s">
        <v>720</v>
      </c>
      <c r="C242" s="9" t="s">
        <v>721</v>
      </c>
      <c r="D242" s="10">
        <v>45</v>
      </c>
      <c r="E242" s="11" t="s">
        <v>693</v>
      </c>
      <c r="F242">
        <f t="shared" si="3"/>
        <v>268457</v>
      </c>
    </row>
    <row r="243" spans="1:6" x14ac:dyDescent="0.35">
      <c r="A243" s="9" t="s">
        <v>946</v>
      </c>
      <c r="B243" s="9" t="s">
        <v>699</v>
      </c>
      <c r="C243" s="9" t="s">
        <v>702</v>
      </c>
      <c r="D243" s="10">
        <v>42</v>
      </c>
      <c r="E243" s="11" t="s">
        <v>693</v>
      </c>
      <c r="F243">
        <f t="shared" si="3"/>
        <v>268479</v>
      </c>
    </row>
    <row r="244" spans="1:6" x14ac:dyDescent="0.35">
      <c r="A244" s="9" t="s">
        <v>947</v>
      </c>
      <c r="B244" s="9" t="s">
        <v>699</v>
      </c>
      <c r="C244" s="9" t="s">
        <v>700</v>
      </c>
      <c r="D244" s="10">
        <v>80.5</v>
      </c>
      <c r="E244" s="11" t="s">
        <v>693</v>
      </c>
      <c r="F244">
        <f t="shared" si="3"/>
        <v>268525</v>
      </c>
    </row>
    <row r="245" spans="1:6" x14ac:dyDescent="0.35">
      <c r="A245" s="9" t="s">
        <v>948</v>
      </c>
      <c r="B245" s="9" t="s">
        <v>691</v>
      </c>
      <c r="C245" s="9" t="s">
        <v>728</v>
      </c>
      <c r="D245" s="10">
        <v>43.5</v>
      </c>
      <c r="E245" s="11" t="s">
        <v>693</v>
      </c>
      <c r="F245">
        <f t="shared" si="3"/>
        <v>268527</v>
      </c>
    </row>
    <row r="246" spans="1:6" x14ac:dyDescent="0.35">
      <c r="A246" s="9" t="s">
        <v>949</v>
      </c>
      <c r="B246" s="9" t="s">
        <v>691</v>
      </c>
      <c r="C246" s="9" t="s">
        <v>733</v>
      </c>
      <c r="D246" s="10">
        <v>69</v>
      </c>
      <c r="E246" s="11" t="s">
        <v>693</v>
      </c>
      <c r="F246">
        <f t="shared" si="3"/>
        <v>268560</v>
      </c>
    </row>
    <row r="247" spans="1:6" x14ac:dyDescent="0.35">
      <c r="A247" s="9" t="s">
        <v>950</v>
      </c>
      <c r="B247" s="9" t="s">
        <v>699</v>
      </c>
      <c r="C247" s="9" t="s">
        <v>700</v>
      </c>
      <c r="D247" s="10">
        <v>33</v>
      </c>
      <c r="E247" s="11" t="s">
        <v>693</v>
      </c>
      <c r="F247">
        <f t="shared" si="3"/>
        <v>268569</v>
      </c>
    </row>
    <row r="248" spans="1:6" x14ac:dyDescent="0.35">
      <c r="A248" s="9" t="s">
        <v>951</v>
      </c>
      <c r="B248" s="9" t="s">
        <v>699</v>
      </c>
      <c r="C248" s="9" t="s">
        <v>700</v>
      </c>
      <c r="D248" s="10">
        <v>52.5</v>
      </c>
      <c r="E248" s="11" t="s">
        <v>693</v>
      </c>
      <c r="F248">
        <f t="shared" si="3"/>
        <v>268571</v>
      </c>
    </row>
    <row r="249" spans="1:6" x14ac:dyDescent="0.35">
      <c r="A249" s="9" t="s">
        <v>952</v>
      </c>
      <c r="B249" s="9" t="s">
        <v>691</v>
      </c>
      <c r="C249" s="9" t="s">
        <v>692</v>
      </c>
      <c r="D249" s="10">
        <v>57</v>
      </c>
      <c r="E249" s="11" t="s">
        <v>693</v>
      </c>
      <c r="F249">
        <f t="shared" si="3"/>
        <v>268574</v>
      </c>
    </row>
    <row r="250" spans="1:6" x14ac:dyDescent="0.35">
      <c r="A250" s="9" t="s">
        <v>953</v>
      </c>
      <c r="B250" s="9" t="s">
        <v>720</v>
      </c>
      <c r="C250" s="9" t="s">
        <v>725</v>
      </c>
      <c r="D250" s="10">
        <v>54</v>
      </c>
      <c r="E250" s="11" t="s">
        <v>693</v>
      </c>
      <c r="F250">
        <f t="shared" si="3"/>
        <v>268955</v>
      </c>
    </row>
    <row r="251" spans="1:6" x14ac:dyDescent="0.35">
      <c r="A251" s="9" t="s">
        <v>954</v>
      </c>
      <c r="B251" s="9" t="s">
        <v>691</v>
      </c>
      <c r="C251" s="9" t="s">
        <v>695</v>
      </c>
      <c r="D251" s="10">
        <v>56</v>
      </c>
      <c r="E251" s="11" t="s">
        <v>693</v>
      </c>
      <c r="F251">
        <f t="shared" si="3"/>
        <v>269348</v>
      </c>
    </row>
    <row r="252" spans="1:6" x14ac:dyDescent="0.35">
      <c r="A252" s="9" t="s">
        <v>955</v>
      </c>
      <c r="B252" s="9" t="s">
        <v>691</v>
      </c>
      <c r="C252" s="9" t="s">
        <v>692</v>
      </c>
      <c r="D252" s="10">
        <v>85</v>
      </c>
      <c r="E252" s="11" t="s">
        <v>693</v>
      </c>
      <c r="F252">
        <f t="shared" si="3"/>
        <v>269385</v>
      </c>
    </row>
    <row r="253" spans="1:6" x14ac:dyDescent="0.35">
      <c r="A253" s="9" t="s">
        <v>956</v>
      </c>
      <c r="B253" s="9" t="s">
        <v>699</v>
      </c>
      <c r="C253" s="9" t="s">
        <v>700</v>
      </c>
      <c r="D253" s="10">
        <v>99.5</v>
      </c>
      <c r="E253" s="11" t="s">
        <v>693</v>
      </c>
      <c r="F253">
        <f t="shared" si="3"/>
        <v>269389</v>
      </c>
    </row>
    <row r="254" spans="1:6" x14ac:dyDescent="0.35">
      <c r="A254" s="9" t="s">
        <v>957</v>
      </c>
      <c r="B254" s="9" t="s">
        <v>720</v>
      </c>
      <c r="C254" s="9" t="s">
        <v>725</v>
      </c>
      <c r="D254" s="10">
        <v>6</v>
      </c>
      <c r="E254" s="11" t="s">
        <v>693</v>
      </c>
      <c r="F254">
        <f t="shared" si="3"/>
        <v>269488</v>
      </c>
    </row>
    <row r="255" spans="1:6" x14ac:dyDescent="0.35">
      <c r="A255" s="9" t="s">
        <v>958</v>
      </c>
      <c r="B255" s="9" t="s">
        <v>691</v>
      </c>
      <c r="C255" s="9" t="s">
        <v>740</v>
      </c>
      <c r="D255" s="10">
        <v>72</v>
      </c>
      <c r="E255" s="11" t="s">
        <v>693</v>
      </c>
      <c r="F255">
        <f t="shared" si="3"/>
        <v>269890</v>
      </c>
    </row>
    <row r="256" spans="1:6" x14ac:dyDescent="0.35">
      <c r="A256" s="9" t="s">
        <v>959</v>
      </c>
      <c r="B256" s="9" t="s">
        <v>699</v>
      </c>
      <c r="C256" s="9" t="s">
        <v>702</v>
      </c>
      <c r="D256" s="10">
        <v>78</v>
      </c>
      <c r="E256" s="11" t="s">
        <v>693</v>
      </c>
      <c r="F256">
        <f t="shared" si="3"/>
        <v>269896</v>
      </c>
    </row>
    <row r="257" spans="1:6" x14ac:dyDescent="0.35">
      <c r="A257" s="9" t="s">
        <v>960</v>
      </c>
      <c r="B257" s="9" t="s">
        <v>691</v>
      </c>
      <c r="C257" s="9" t="s">
        <v>740</v>
      </c>
      <c r="D257" s="10">
        <v>340</v>
      </c>
      <c r="E257" s="11" t="s">
        <v>693</v>
      </c>
      <c r="F257">
        <f t="shared" si="3"/>
        <v>271058</v>
      </c>
    </row>
    <row r="258" spans="1:6" x14ac:dyDescent="0.35">
      <c r="A258" s="9" t="s">
        <v>961</v>
      </c>
      <c r="B258" s="9" t="s">
        <v>691</v>
      </c>
      <c r="C258" s="9" t="s">
        <v>740</v>
      </c>
      <c r="D258" s="10">
        <v>174</v>
      </c>
      <c r="E258" s="11" t="s">
        <v>693</v>
      </c>
      <c r="F258">
        <f t="shared" si="3"/>
        <v>271059</v>
      </c>
    </row>
    <row r="259" spans="1:6" x14ac:dyDescent="0.35">
      <c r="A259" s="9" t="s">
        <v>962</v>
      </c>
      <c r="B259" s="9" t="s">
        <v>720</v>
      </c>
      <c r="C259" s="9" t="s">
        <v>725</v>
      </c>
      <c r="D259" s="10">
        <v>81.5</v>
      </c>
      <c r="E259" s="11" t="s">
        <v>693</v>
      </c>
      <c r="F259">
        <f t="shared" ref="F259:F322" si="4">VALUE(LEFT(A259,FIND(" ",A259)-1))</f>
        <v>271657</v>
      </c>
    </row>
    <row r="260" spans="1:6" x14ac:dyDescent="0.35">
      <c r="A260" s="9" t="s">
        <v>963</v>
      </c>
      <c r="B260" s="9" t="s">
        <v>699</v>
      </c>
      <c r="C260" s="9" t="s">
        <v>700</v>
      </c>
      <c r="D260" s="10">
        <v>102</v>
      </c>
      <c r="E260" s="11" t="s">
        <v>693</v>
      </c>
      <c r="F260">
        <f t="shared" si="4"/>
        <v>271759</v>
      </c>
    </row>
    <row r="261" spans="1:6" x14ac:dyDescent="0.35">
      <c r="A261" s="9" t="s">
        <v>964</v>
      </c>
      <c r="B261" s="9" t="s">
        <v>691</v>
      </c>
      <c r="C261" s="9" t="s">
        <v>740</v>
      </c>
      <c r="D261" s="10">
        <v>300</v>
      </c>
      <c r="E261" s="11" t="s">
        <v>693</v>
      </c>
      <c r="F261">
        <f t="shared" si="4"/>
        <v>271784</v>
      </c>
    </row>
    <row r="262" spans="1:6" x14ac:dyDescent="0.35">
      <c r="A262" s="9" t="s">
        <v>965</v>
      </c>
      <c r="B262" s="9" t="s">
        <v>720</v>
      </c>
      <c r="C262" s="9" t="s">
        <v>725</v>
      </c>
      <c r="D262" s="10">
        <v>245</v>
      </c>
      <c r="E262" s="11" t="s">
        <v>693</v>
      </c>
      <c r="F262">
        <f t="shared" si="4"/>
        <v>271800</v>
      </c>
    </row>
    <row r="263" spans="1:6" x14ac:dyDescent="0.35">
      <c r="A263" s="9" t="s">
        <v>966</v>
      </c>
      <c r="B263" s="9" t="s">
        <v>720</v>
      </c>
      <c r="C263" s="9" t="s">
        <v>721</v>
      </c>
      <c r="D263" s="10">
        <v>72</v>
      </c>
      <c r="E263" s="11" t="s">
        <v>693</v>
      </c>
      <c r="F263">
        <f t="shared" si="4"/>
        <v>272281</v>
      </c>
    </row>
    <row r="264" spans="1:6" x14ac:dyDescent="0.35">
      <c r="A264" s="9" t="s">
        <v>967</v>
      </c>
      <c r="B264" s="9" t="s">
        <v>691</v>
      </c>
      <c r="C264" s="9" t="s">
        <v>728</v>
      </c>
      <c r="D264" s="10">
        <v>78</v>
      </c>
      <c r="E264" s="11" t="s">
        <v>693</v>
      </c>
      <c r="F264">
        <f t="shared" si="4"/>
        <v>272296</v>
      </c>
    </row>
    <row r="265" spans="1:6" x14ac:dyDescent="0.35">
      <c r="A265" s="9" t="s">
        <v>968</v>
      </c>
      <c r="B265" s="9" t="s">
        <v>691</v>
      </c>
      <c r="C265" s="9" t="s">
        <v>692</v>
      </c>
      <c r="D265" s="10">
        <v>111</v>
      </c>
      <c r="E265" s="11" t="s">
        <v>693</v>
      </c>
      <c r="F265">
        <f t="shared" si="4"/>
        <v>272298</v>
      </c>
    </row>
    <row r="266" spans="1:6" x14ac:dyDescent="0.35">
      <c r="A266" s="9" t="s">
        <v>969</v>
      </c>
      <c r="B266" s="9" t="s">
        <v>691</v>
      </c>
      <c r="C266" s="9" t="s">
        <v>692</v>
      </c>
      <c r="D266" s="10">
        <v>40</v>
      </c>
      <c r="E266" s="11" t="s">
        <v>693</v>
      </c>
      <c r="F266">
        <f t="shared" si="4"/>
        <v>272312</v>
      </c>
    </row>
    <row r="267" spans="1:6" x14ac:dyDescent="0.35">
      <c r="A267" s="9" t="s">
        <v>970</v>
      </c>
      <c r="B267" s="9" t="s">
        <v>691</v>
      </c>
      <c r="C267" s="9" t="s">
        <v>733</v>
      </c>
      <c r="D267" s="10">
        <v>33</v>
      </c>
      <c r="E267" s="11" t="s">
        <v>693</v>
      </c>
      <c r="F267">
        <f t="shared" si="4"/>
        <v>272317</v>
      </c>
    </row>
    <row r="268" spans="1:6" x14ac:dyDescent="0.35">
      <c r="A268" s="9" t="s">
        <v>971</v>
      </c>
      <c r="B268" s="9" t="s">
        <v>720</v>
      </c>
      <c r="C268" s="9" t="s">
        <v>721</v>
      </c>
      <c r="D268" s="10">
        <v>41</v>
      </c>
      <c r="E268" s="11" t="s">
        <v>693</v>
      </c>
      <c r="F268">
        <f t="shared" si="4"/>
        <v>272759</v>
      </c>
    </row>
    <row r="269" spans="1:6" x14ac:dyDescent="0.35">
      <c r="A269" s="9" t="s">
        <v>972</v>
      </c>
      <c r="B269" s="9" t="s">
        <v>720</v>
      </c>
      <c r="C269" s="9" t="s">
        <v>721</v>
      </c>
      <c r="D269" s="10">
        <v>36</v>
      </c>
      <c r="E269" s="11" t="s">
        <v>693</v>
      </c>
      <c r="F269">
        <f t="shared" si="4"/>
        <v>272815</v>
      </c>
    </row>
    <row r="270" spans="1:6" x14ac:dyDescent="0.35">
      <c r="A270" s="9" t="s">
        <v>973</v>
      </c>
      <c r="B270" s="9" t="s">
        <v>691</v>
      </c>
      <c r="C270" s="9" t="s">
        <v>697</v>
      </c>
      <c r="D270" s="10">
        <v>336</v>
      </c>
      <c r="E270" s="11" t="s">
        <v>693</v>
      </c>
      <c r="F270">
        <f t="shared" si="4"/>
        <v>272823</v>
      </c>
    </row>
    <row r="271" spans="1:6" x14ac:dyDescent="0.35">
      <c r="A271" s="9" t="s">
        <v>974</v>
      </c>
      <c r="B271" s="9" t="s">
        <v>691</v>
      </c>
      <c r="C271" s="9" t="s">
        <v>692</v>
      </c>
      <c r="D271" s="10">
        <v>116</v>
      </c>
      <c r="E271" s="11" t="s">
        <v>693</v>
      </c>
      <c r="F271">
        <f t="shared" si="4"/>
        <v>272876</v>
      </c>
    </row>
    <row r="272" spans="1:6" x14ac:dyDescent="0.35">
      <c r="A272" s="9" t="s">
        <v>975</v>
      </c>
      <c r="B272" s="9" t="s">
        <v>691</v>
      </c>
      <c r="C272" s="9" t="s">
        <v>740</v>
      </c>
      <c r="D272" s="10">
        <v>63</v>
      </c>
      <c r="E272" s="11" t="s">
        <v>693</v>
      </c>
      <c r="F272">
        <f t="shared" si="4"/>
        <v>272878</v>
      </c>
    </row>
    <row r="273" spans="1:6" x14ac:dyDescent="0.35">
      <c r="A273" s="9" t="s">
        <v>976</v>
      </c>
      <c r="B273" s="9" t="s">
        <v>691</v>
      </c>
      <c r="C273" s="9" t="s">
        <v>695</v>
      </c>
      <c r="D273" s="10">
        <v>194</v>
      </c>
      <c r="E273" s="11" t="s">
        <v>693</v>
      </c>
      <c r="F273">
        <f t="shared" si="4"/>
        <v>273082</v>
      </c>
    </row>
    <row r="274" spans="1:6" x14ac:dyDescent="0.35">
      <c r="A274" s="9" t="s">
        <v>977</v>
      </c>
      <c r="B274" s="9" t="s">
        <v>691</v>
      </c>
      <c r="C274" s="9" t="s">
        <v>740</v>
      </c>
      <c r="D274" s="10">
        <v>19.5</v>
      </c>
      <c r="E274" s="11" t="s">
        <v>693</v>
      </c>
      <c r="F274">
        <f t="shared" si="4"/>
        <v>273370</v>
      </c>
    </row>
    <row r="275" spans="1:6" x14ac:dyDescent="0.35">
      <c r="A275" s="9" t="s">
        <v>978</v>
      </c>
      <c r="B275" s="9" t="s">
        <v>691</v>
      </c>
      <c r="C275" s="9" t="s">
        <v>697</v>
      </c>
      <c r="D275" s="10">
        <v>93</v>
      </c>
      <c r="E275" s="11" t="s">
        <v>693</v>
      </c>
      <c r="F275">
        <f t="shared" si="4"/>
        <v>273418</v>
      </c>
    </row>
    <row r="276" spans="1:6" x14ac:dyDescent="0.35">
      <c r="A276" s="9" t="s">
        <v>979</v>
      </c>
      <c r="B276" s="9" t="s">
        <v>691</v>
      </c>
      <c r="C276" s="9" t="s">
        <v>695</v>
      </c>
      <c r="D276" s="10">
        <v>440</v>
      </c>
      <c r="E276" s="11" t="s">
        <v>693</v>
      </c>
      <c r="F276">
        <f t="shared" si="4"/>
        <v>273554</v>
      </c>
    </row>
    <row r="277" spans="1:6" x14ac:dyDescent="0.35">
      <c r="A277" s="9" t="s">
        <v>980</v>
      </c>
      <c r="B277" s="9" t="s">
        <v>691</v>
      </c>
      <c r="C277" s="9" t="s">
        <v>692</v>
      </c>
      <c r="D277" s="10">
        <v>50</v>
      </c>
      <c r="E277" s="11" t="s">
        <v>693</v>
      </c>
      <c r="F277">
        <f t="shared" si="4"/>
        <v>273826</v>
      </c>
    </row>
    <row r="278" spans="1:6" x14ac:dyDescent="0.35">
      <c r="A278" s="9" t="s">
        <v>981</v>
      </c>
      <c r="B278" s="9" t="s">
        <v>699</v>
      </c>
      <c r="C278" s="9" t="s">
        <v>709</v>
      </c>
      <c r="D278" s="10">
        <v>136</v>
      </c>
      <c r="E278" s="11" t="s">
        <v>693</v>
      </c>
      <c r="F278">
        <f t="shared" si="4"/>
        <v>273926</v>
      </c>
    </row>
    <row r="279" spans="1:6" x14ac:dyDescent="0.35">
      <c r="A279" s="9" t="s">
        <v>982</v>
      </c>
      <c r="B279" s="9" t="s">
        <v>691</v>
      </c>
      <c r="C279" s="9" t="s">
        <v>697</v>
      </c>
      <c r="D279" s="10">
        <v>52</v>
      </c>
      <c r="E279" s="11" t="s">
        <v>693</v>
      </c>
      <c r="F279">
        <f t="shared" si="4"/>
        <v>274012</v>
      </c>
    </row>
    <row r="280" spans="1:6" x14ac:dyDescent="0.35">
      <c r="A280" s="9" t="s">
        <v>983</v>
      </c>
      <c r="B280" s="9" t="s">
        <v>699</v>
      </c>
      <c r="C280" s="9" t="s">
        <v>709</v>
      </c>
      <c r="D280" s="10">
        <v>35</v>
      </c>
      <c r="E280" s="11" t="s">
        <v>693</v>
      </c>
      <c r="F280">
        <f t="shared" si="4"/>
        <v>274584</v>
      </c>
    </row>
    <row r="281" spans="1:6" x14ac:dyDescent="0.35">
      <c r="A281" s="9" t="s">
        <v>984</v>
      </c>
      <c r="B281" s="9" t="s">
        <v>699</v>
      </c>
      <c r="C281" s="9" t="s">
        <v>702</v>
      </c>
      <c r="D281" s="10">
        <v>60</v>
      </c>
      <c r="E281" s="11" t="s">
        <v>693</v>
      </c>
      <c r="F281">
        <f t="shared" si="4"/>
        <v>274636</v>
      </c>
    </row>
    <row r="282" spans="1:6" x14ac:dyDescent="0.35">
      <c r="A282" s="9" t="s">
        <v>985</v>
      </c>
      <c r="B282" s="9" t="s">
        <v>699</v>
      </c>
      <c r="C282" s="9" t="s">
        <v>702</v>
      </c>
      <c r="D282" s="10">
        <v>122.5</v>
      </c>
      <c r="E282" s="11" t="s">
        <v>693</v>
      </c>
      <c r="F282">
        <f t="shared" si="4"/>
        <v>274637</v>
      </c>
    </row>
    <row r="283" spans="1:6" x14ac:dyDescent="0.35">
      <c r="A283" s="9" t="s">
        <v>986</v>
      </c>
      <c r="B283" s="9" t="s">
        <v>691</v>
      </c>
      <c r="C283" s="9" t="s">
        <v>740</v>
      </c>
      <c r="D283" s="10">
        <v>189</v>
      </c>
      <c r="E283" s="11" t="s">
        <v>693</v>
      </c>
      <c r="F283">
        <f t="shared" si="4"/>
        <v>275174</v>
      </c>
    </row>
    <row r="284" spans="1:6" x14ac:dyDescent="0.35">
      <c r="A284" s="9" t="s">
        <v>987</v>
      </c>
      <c r="B284" s="9" t="s">
        <v>691</v>
      </c>
      <c r="C284" s="9" t="s">
        <v>740</v>
      </c>
      <c r="D284" s="10">
        <v>157.5</v>
      </c>
      <c r="E284" s="11" t="s">
        <v>693</v>
      </c>
      <c r="F284">
        <f t="shared" si="4"/>
        <v>275379</v>
      </c>
    </row>
    <row r="285" spans="1:6" x14ac:dyDescent="0.35">
      <c r="A285" s="9" t="s">
        <v>988</v>
      </c>
      <c r="B285" s="9" t="s">
        <v>720</v>
      </c>
      <c r="C285" s="9" t="s">
        <v>721</v>
      </c>
      <c r="D285" s="10">
        <v>5</v>
      </c>
      <c r="E285" s="11" t="s">
        <v>693</v>
      </c>
      <c r="F285">
        <f t="shared" si="4"/>
        <v>275380</v>
      </c>
    </row>
    <row r="286" spans="1:6" x14ac:dyDescent="0.35">
      <c r="A286" s="9" t="s">
        <v>989</v>
      </c>
      <c r="B286" s="9" t="s">
        <v>691</v>
      </c>
      <c r="C286" s="9" t="s">
        <v>740</v>
      </c>
      <c r="D286" s="10">
        <v>195</v>
      </c>
      <c r="E286" s="11" t="s">
        <v>693</v>
      </c>
      <c r="F286">
        <f t="shared" si="4"/>
        <v>275849</v>
      </c>
    </row>
    <row r="287" spans="1:6" x14ac:dyDescent="0.35">
      <c r="A287" s="9" t="s">
        <v>990</v>
      </c>
      <c r="B287" s="9" t="s">
        <v>720</v>
      </c>
      <c r="C287" s="9" t="s">
        <v>721</v>
      </c>
      <c r="D287" s="10">
        <v>154</v>
      </c>
      <c r="E287" s="11" t="s">
        <v>693</v>
      </c>
      <c r="F287">
        <f t="shared" si="4"/>
        <v>276583</v>
      </c>
    </row>
    <row r="288" spans="1:6" x14ac:dyDescent="0.35">
      <c r="A288" s="9" t="s">
        <v>991</v>
      </c>
      <c r="B288" s="9" t="s">
        <v>691</v>
      </c>
      <c r="C288" s="9" t="s">
        <v>728</v>
      </c>
      <c r="D288" s="10">
        <v>722</v>
      </c>
      <c r="E288" s="11" t="s">
        <v>693</v>
      </c>
      <c r="F288">
        <f t="shared" si="4"/>
        <v>276635</v>
      </c>
    </row>
    <row r="289" spans="1:6" x14ac:dyDescent="0.35">
      <c r="A289" s="9" t="s">
        <v>992</v>
      </c>
      <c r="B289" s="9" t="s">
        <v>720</v>
      </c>
      <c r="C289" s="9" t="s">
        <v>721</v>
      </c>
      <c r="D289" s="10">
        <v>66</v>
      </c>
      <c r="E289" s="11" t="s">
        <v>693</v>
      </c>
      <c r="F289">
        <f t="shared" si="4"/>
        <v>276665</v>
      </c>
    </row>
    <row r="290" spans="1:6" x14ac:dyDescent="0.35">
      <c r="A290" s="9" t="s">
        <v>993</v>
      </c>
      <c r="B290" s="9" t="s">
        <v>699</v>
      </c>
      <c r="C290" s="9" t="s">
        <v>702</v>
      </c>
      <c r="D290" s="10">
        <v>78</v>
      </c>
      <c r="E290" s="11" t="s">
        <v>693</v>
      </c>
      <c r="F290">
        <f t="shared" si="4"/>
        <v>276696</v>
      </c>
    </row>
    <row r="291" spans="1:6" x14ac:dyDescent="0.35">
      <c r="A291" s="9" t="s">
        <v>994</v>
      </c>
      <c r="B291" s="9" t="s">
        <v>691</v>
      </c>
      <c r="C291" s="9" t="s">
        <v>733</v>
      </c>
      <c r="D291" s="10">
        <v>96</v>
      </c>
      <c r="E291" s="11" t="s">
        <v>693</v>
      </c>
      <c r="F291">
        <f t="shared" si="4"/>
        <v>276717</v>
      </c>
    </row>
    <row r="292" spans="1:6" x14ac:dyDescent="0.35">
      <c r="A292" s="9" t="s">
        <v>995</v>
      </c>
      <c r="B292" s="9" t="s">
        <v>691</v>
      </c>
      <c r="C292" s="9" t="s">
        <v>692</v>
      </c>
      <c r="D292" s="10">
        <v>45</v>
      </c>
      <c r="E292" s="11" t="s">
        <v>693</v>
      </c>
      <c r="F292">
        <f t="shared" si="4"/>
        <v>277396</v>
      </c>
    </row>
    <row r="293" spans="1:6" x14ac:dyDescent="0.35">
      <c r="A293" s="9" t="s">
        <v>996</v>
      </c>
      <c r="B293" s="9" t="s">
        <v>691</v>
      </c>
      <c r="C293" s="9" t="s">
        <v>692</v>
      </c>
      <c r="D293" s="10">
        <v>530</v>
      </c>
      <c r="E293" s="11" t="s">
        <v>693</v>
      </c>
      <c r="F293">
        <f t="shared" si="4"/>
        <v>277399</v>
      </c>
    </row>
    <row r="294" spans="1:6" x14ac:dyDescent="0.35">
      <c r="A294" s="9" t="s">
        <v>997</v>
      </c>
      <c r="B294" s="9" t="s">
        <v>691</v>
      </c>
      <c r="C294" s="9" t="s">
        <v>728</v>
      </c>
      <c r="D294" s="10">
        <v>96</v>
      </c>
      <c r="E294" s="11" t="s">
        <v>693</v>
      </c>
      <c r="F294">
        <f t="shared" si="4"/>
        <v>277554</v>
      </c>
    </row>
    <row r="295" spans="1:6" x14ac:dyDescent="0.35">
      <c r="A295" s="9" t="s">
        <v>998</v>
      </c>
      <c r="B295" s="9" t="s">
        <v>691</v>
      </c>
      <c r="C295" s="9" t="s">
        <v>697</v>
      </c>
      <c r="D295" s="10">
        <v>276.5</v>
      </c>
      <c r="E295" s="11" t="s">
        <v>693</v>
      </c>
      <c r="F295">
        <f t="shared" si="4"/>
        <v>277559</v>
      </c>
    </row>
    <row r="296" spans="1:6" x14ac:dyDescent="0.35">
      <c r="A296" s="9" t="s">
        <v>999</v>
      </c>
      <c r="B296" s="9" t="s">
        <v>691</v>
      </c>
      <c r="C296" s="9" t="s">
        <v>697</v>
      </c>
      <c r="D296" s="10">
        <v>126</v>
      </c>
      <c r="E296" s="11" t="s">
        <v>693</v>
      </c>
      <c r="F296">
        <f t="shared" si="4"/>
        <v>277563</v>
      </c>
    </row>
    <row r="297" spans="1:6" x14ac:dyDescent="0.35">
      <c r="A297" s="9" t="s">
        <v>1000</v>
      </c>
      <c r="B297" s="9" t="s">
        <v>720</v>
      </c>
      <c r="C297" s="9" t="s">
        <v>725</v>
      </c>
      <c r="D297" s="10">
        <v>63</v>
      </c>
      <c r="E297" s="11" t="s">
        <v>693</v>
      </c>
      <c r="F297">
        <f t="shared" si="4"/>
        <v>277568</v>
      </c>
    </row>
    <row r="298" spans="1:6" x14ac:dyDescent="0.35">
      <c r="A298" s="9" t="s">
        <v>1001</v>
      </c>
      <c r="B298" s="9" t="s">
        <v>720</v>
      </c>
      <c r="C298" s="9" t="s">
        <v>721</v>
      </c>
      <c r="D298" s="10">
        <v>383</v>
      </c>
      <c r="E298" s="11" t="s">
        <v>693</v>
      </c>
      <c r="F298">
        <f t="shared" si="4"/>
        <v>278146</v>
      </c>
    </row>
    <row r="299" spans="1:6" x14ac:dyDescent="0.35">
      <c r="A299" s="9" t="s">
        <v>1002</v>
      </c>
      <c r="B299" s="9" t="s">
        <v>720</v>
      </c>
      <c r="C299" s="9" t="s">
        <v>725</v>
      </c>
      <c r="D299" s="10">
        <v>33</v>
      </c>
      <c r="E299" s="11" t="s">
        <v>693</v>
      </c>
      <c r="F299">
        <f t="shared" si="4"/>
        <v>278147</v>
      </c>
    </row>
    <row r="300" spans="1:6" x14ac:dyDescent="0.35">
      <c r="A300" s="9" t="s">
        <v>1003</v>
      </c>
      <c r="B300" s="9" t="s">
        <v>691</v>
      </c>
      <c r="C300" s="9" t="s">
        <v>692</v>
      </c>
      <c r="D300" s="10">
        <v>15</v>
      </c>
      <c r="E300" s="11" t="s">
        <v>693</v>
      </c>
      <c r="F300">
        <f t="shared" si="4"/>
        <v>278694</v>
      </c>
    </row>
    <row r="301" spans="1:6" x14ac:dyDescent="0.35">
      <c r="A301" s="9" t="s">
        <v>1004</v>
      </c>
      <c r="B301" s="9" t="s">
        <v>699</v>
      </c>
      <c r="C301" s="9" t="s">
        <v>709</v>
      </c>
      <c r="D301" s="10">
        <v>48</v>
      </c>
      <c r="E301" s="11" t="s">
        <v>693</v>
      </c>
      <c r="F301">
        <f t="shared" si="4"/>
        <v>278696</v>
      </c>
    </row>
    <row r="302" spans="1:6" x14ac:dyDescent="0.35">
      <c r="A302" s="9" t="s">
        <v>1005</v>
      </c>
      <c r="B302" s="9" t="s">
        <v>691</v>
      </c>
      <c r="C302" s="9" t="s">
        <v>692</v>
      </c>
      <c r="D302" s="10">
        <v>108</v>
      </c>
      <c r="E302" s="11" t="s">
        <v>693</v>
      </c>
      <c r="F302">
        <f t="shared" si="4"/>
        <v>279185</v>
      </c>
    </row>
    <row r="303" spans="1:6" x14ac:dyDescent="0.35">
      <c r="A303" s="9" t="s">
        <v>1006</v>
      </c>
      <c r="B303" s="9" t="s">
        <v>699</v>
      </c>
      <c r="C303" s="9" t="s">
        <v>709</v>
      </c>
      <c r="D303" s="10">
        <v>49</v>
      </c>
      <c r="E303" s="11" t="s">
        <v>693</v>
      </c>
      <c r="F303">
        <f t="shared" si="4"/>
        <v>279738</v>
      </c>
    </row>
    <row r="304" spans="1:6" x14ac:dyDescent="0.35">
      <c r="A304" s="9" t="s">
        <v>1007</v>
      </c>
      <c r="B304" s="9" t="s">
        <v>691</v>
      </c>
      <c r="C304" s="9" t="s">
        <v>728</v>
      </c>
      <c r="D304" s="10">
        <v>163</v>
      </c>
      <c r="E304" s="11" t="s">
        <v>693</v>
      </c>
      <c r="F304">
        <f t="shared" si="4"/>
        <v>280151</v>
      </c>
    </row>
    <row r="305" spans="1:6" x14ac:dyDescent="0.35">
      <c r="A305" s="9" t="s">
        <v>1008</v>
      </c>
      <c r="B305" s="9" t="s">
        <v>691</v>
      </c>
      <c r="C305" s="9" t="s">
        <v>728</v>
      </c>
      <c r="D305" s="10">
        <v>9</v>
      </c>
      <c r="E305" s="11" t="s">
        <v>693</v>
      </c>
      <c r="F305">
        <f t="shared" si="4"/>
        <v>280302</v>
      </c>
    </row>
    <row r="306" spans="1:6" x14ac:dyDescent="0.35">
      <c r="A306" s="9" t="s">
        <v>1009</v>
      </c>
      <c r="B306" s="9" t="s">
        <v>691</v>
      </c>
      <c r="C306" s="9" t="s">
        <v>692</v>
      </c>
      <c r="D306" s="10">
        <v>63</v>
      </c>
      <c r="E306" s="11" t="s">
        <v>693</v>
      </c>
      <c r="F306">
        <f t="shared" si="4"/>
        <v>280303</v>
      </c>
    </row>
    <row r="307" spans="1:6" x14ac:dyDescent="0.35">
      <c r="A307" s="9" t="s">
        <v>1010</v>
      </c>
      <c r="B307" s="9" t="s">
        <v>720</v>
      </c>
      <c r="C307" s="9" t="s">
        <v>725</v>
      </c>
      <c r="D307" s="10">
        <v>184</v>
      </c>
      <c r="E307" s="11" t="s">
        <v>693</v>
      </c>
      <c r="F307">
        <f t="shared" si="4"/>
        <v>280306</v>
      </c>
    </row>
    <row r="308" spans="1:6" x14ac:dyDescent="0.35">
      <c r="A308" s="9" t="s">
        <v>1011</v>
      </c>
      <c r="B308" s="9" t="s">
        <v>699</v>
      </c>
      <c r="C308" s="9" t="s">
        <v>709</v>
      </c>
      <c r="D308" s="10">
        <v>87</v>
      </c>
      <c r="E308" s="11" t="s">
        <v>693</v>
      </c>
      <c r="F308">
        <f t="shared" si="4"/>
        <v>280994</v>
      </c>
    </row>
    <row r="309" spans="1:6" x14ac:dyDescent="0.35">
      <c r="A309" s="9" t="s">
        <v>1012</v>
      </c>
      <c r="B309" s="9" t="s">
        <v>720</v>
      </c>
      <c r="C309" s="9" t="s">
        <v>725</v>
      </c>
      <c r="D309" s="10">
        <v>69</v>
      </c>
      <c r="E309" s="11" t="s">
        <v>693</v>
      </c>
      <c r="F309">
        <f t="shared" si="4"/>
        <v>281539</v>
      </c>
    </row>
    <row r="310" spans="1:6" x14ac:dyDescent="0.35">
      <c r="A310" s="9" t="s">
        <v>1013</v>
      </c>
      <c r="B310" s="9" t="s">
        <v>720</v>
      </c>
      <c r="C310" s="9" t="s">
        <v>721</v>
      </c>
      <c r="D310" s="10">
        <v>78</v>
      </c>
      <c r="E310" s="11" t="s">
        <v>693</v>
      </c>
      <c r="F310">
        <f t="shared" si="4"/>
        <v>282170</v>
      </c>
    </row>
    <row r="311" spans="1:6" x14ac:dyDescent="0.35">
      <c r="A311" s="9" t="s">
        <v>1014</v>
      </c>
      <c r="B311" s="9" t="s">
        <v>691</v>
      </c>
      <c r="C311" s="9" t="s">
        <v>692</v>
      </c>
      <c r="D311" s="10">
        <v>105</v>
      </c>
      <c r="E311" s="11" t="s">
        <v>693</v>
      </c>
      <c r="F311">
        <f t="shared" si="4"/>
        <v>282740</v>
      </c>
    </row>
    <row r="312" spans="1:6" x14ac:dyDescent="0.35">
      <c r="A312" s="9" t="s">
        <v>1015</v>
      </c>
      <c r="B312" s="9" t="s">
        <v>691</v>
      </c>
      <c r="C312" s="9" t="s">
        <v>692</v>
      </c>
      <c r="D312" s="10">
        <v>71</v>
      </c>
      <c r="E312" s="11" t="s">
        <v>693</v>
      </c>
      <c r="F312">
        <f t="shared" si="4"/>
        <v>282747</v>
      </c>
    </row>
    <row r="313" spans="1:6" x14ac:dyDescent="0.35">
      <c r="A313" s="9" t="s">
        <v>1016</v>
      </c>
      <c r="B313" s="9" t="s">
        <v>720</v>
      </c>
      <c r="C313" s="9" t="s">
        <v>725</v>
      </c>
      <c r="D313" s="10">
        <v>67.5</v>
      </c>
      <c r="E313" s="11" t="s">
        <v>693</v>
      </c>
      <c r="F313">
        <f t="shared" si="4"/>
        <v>282762</v>
      </c>
    </row>
    <row r="314" spans="1:6" x14ac:dyDescent="0.35">
      <c r="A314" s="9" t="s">
        <v>1017</v>
      </c>
      <c r="B314" s="9" t="s">
        <v>691</v>
      </c>
      <c r="C314" s="9" t="s">
        <v>733</v>
      </c>
      <c r="D314" s="10">
        <v>224</v>
      </c>
      <c r="E314" s="11" t="s">
        <v>693</v>
      </c>
      <c r="F314">
        <f t="shared" si="4"/>
        <v>282776</v>
      </c>
    </row>
    <row r="315" spans="1:6" x14ac:dyDescent="0.35">
      <c r="A315" s="9" t="s">
        <v>1018</v>
      </c>
      <c r="B315" s="9" t="s">
        <v>699</v>
      </c>
      <c r="C315" s="9" t="s">
        <v>702</v>
      </c>
      <c r="D315" s="10">
        <v>210</v>
      </c>
      <c r="E315" s="11" t="s">
        <v>693</v>
      </c>
      <c r="F315">
        <f t="shared" si="4"/>
        <v>283241</v>
      </c>
    </row>
    <row r="316" spans="1:6" x14ac:dyDescent="0.35">
      <c r="A316" s="9" t="s">
        <v>1019</v>
      </c>
      <c r="B316" s="9" t="s">
        <v>691</v>
      </c>
      <c r="C316" s="9" t="s">
        <v>697</v>
      </c>
      <c r="D316" s="10">
        <v>21</v>
      </c>
      <c r="E316" s="11" t="s">
        <v>693</v>
      </c>
      <c r="F316">
        <f t="shared" si="4"/>
        <v>283332</v>
      </c>
    </row>
    <row r="317" spans="1:6" x14ac:dyDescent="0.35">
      <c r="A317" s="9" t="s">
        <v>1020</v>
      </c>
      <c r="B317" s="9" t="s">
        <v>699</v>
      </c>
      <c r="C317" s="9" t="s">
        <v>709</v>
      </c>
      <c r="D317" s="10">
        <v>24</v>
      </c>
      <c r="E317" s="11" t="s">
        <v>693</v>
      </c>
      <c r="F317">
        <f t="shared" si="4"/>
        <v>283735</v>
      </c>
    </row>
    <row r="318" spans="1:6" x14ac:dyDescent="0.35">
      <c r="A318" s="9" t="s">
        <v>1021</v>
      </c>
      <c r="B318" s="9" t="s">
        <v>691</v>
      </c>
      <c r="C318" s="9" t="s">
        <v>733</v>
      </c>
      <c r="D318" s="10">
        <v>430</v>
      </c>
      <c r="E318" s="11" t="s">
        <v>693</v>
      </c>
      <c r="F318">
        <f t="shared" si="4"/>
        <v>283999</v>
      </c>
    </row>
    <row r="319" spans="1:6" x14ac:dyDescent="0.35">
      <c r="A319" s="9" t="s">
        <v>1022</v>
      </c>
      <c r="B319" s="9" t="s">
        <v>720</v>
      </c>
      <c r="C319" s="9" t="s">
        <v>721</v>
      </c>
      <c r="D319" s="10">
        <v>66.5</v>
      </c>
      <c r="E319" s="11" t="s">
        <v>693</v>
      </c>
      <c r="F319">
        <f t="shared" si="4"/>
        <v>284034</v>
      </c>
    </row>
    <row r="320" spans="1:6" x14ac:dyDescent="0.35">
      <c r="A320" s="9" t="s">
        <v>1023</v>
      </c>
      <c r="B320" s="9" t="s">
        <v>691</v>
      </c>
      <c r="C320" s="9" t="s">
        <v>733</v>
      </c>
      <c r="D320" s="10">
        <v>123</v>
      </c>
      <c r="E320" s="11" t="s">
        <v>693</v>
      </c>
      <c r="F320">
        <f t="shared" si="4"/>
        <v>284827</v>
      </c>
    </row>
    <row r="321" spans="1:6" x14ac:dyDescent="0.35">
      <c r="A321" s="9" t="s">
        <v>1024</v>
      </c>
      <c r="B321" s="9" t="s">
        <v>691</v>
      </c>
      <c r="C321" s="9" t="s">
        <v>728</v>
      </c>
      <c r="D321" s="10">
        <v>69</v>
      </c>
      <c r="E321" s="11" t="s">
        <v>693</v>
      </c>
      <c r="F321">
        <f t="shared" si="4"/>
        <v>284991</v>
      </c>
    </row>
    <row r="322" spans="1:6" x14ac:dyDescent="0.35">
      <c r="A322" s="9" t="s">
        <v>1025</v>
      </c>
      <c r="B322" s="9" t="s">
        <v>699</v>
      </c>
      <c r="C322" s="9" t="s">
        <v>702</v>
      </c>
      <c r="D322" s="10">
        <v>52.5</v>
      </c>
      <c r="E322" s="11" t="s">
        <v>693</v>
      </c>
      <c r="F322">
        <f t="shared" si="4"/>
        <v>285018</v>
      </c>
    </row>
    <row r="323" spans="1:6" x14ac:dyDescent="0.35">
      <c r="A323" s="9" t="s">
        <v>1026</v>
      </c>
      <c r="B323" s="9" t="s">
        <v>699</v>
      </c>
      <c r="C323" s="9" t="s">
        <v>702</v>
      </c>
      <c r="D323" s="10">
        <v>56.5</v>
      </c>
      <c r="E323" s="11" t="s">
        <v>693</v>
      </c>
      <c r="F323">
        <f t="shared" ref="F323:F386" si="5">VALUE(LEFT(A323,FIND(" ",A323)-1))</f>
        <v>285030</v>
      </c>
    </row>
    <row r="324" spans="1:6" x14ac:dyDescent="0.35">
      <c r="A324" s="9" t="s">
        <v>1027</v>
      </c>
      <c r="B324" s="9" t="s">
        <v>699</v>
      </c>
      <c r="C324" s="9" t="s">
        <v>700</v>
      </c>
      <c r="D324" s="10">
        <v>55</v>
      </c>
      <c r="E324" s="11" t="s">
        <v>693</v>
      </c>
      <c r="F324">
        <f t="shared" si="5"/>
        <v>285032</v>
      </c>
    </row>
    <row r="325" spans="1:6" x14ac:dyDescent="0.35">
      <c r="A325" s="9" t="s">
        <v>1028</v>
      </c>
      <c r="B325" s="9" t="s">
        <v>699</v>
      </c>
      <c r="C325" s="9" t="s">
        <v>702</v>
      </c>
      <c r="D325" s="10">
        <v>97.5</v>
      </c>
      <c r="E325" s="11" t="s">
        <v>693</v>
      </c>
      <c r="F325">
        <f t="shared" si="5"/>
        <v>285568</v>
      </c>
    </row>
    <row r="326" spans="1:6" x14ac:dyDescent="0.35">
      <c r="A326" s="9" t="s">
        <v>1029</v>
      </c>
      <c r="B326" s="9" t="s">
        <v>691</v>
      </c>
      <c r="C326" s="9" t="s">
        <v>733</v>
      </c>
      <c r="D326" s="10">
        <v>532</v>
      </c>
      <c r="E326" s="11" t="s">
        <v>693</v>
      </c>
      <c r="F326">
        <f t="shared" si="5"/>
        <v>286127</v>
      </c>
    </row>
    <row r="327" spans="1:6" x14ac:dyDescent="0.35">
      <c r="A327" s="9" t="s">
        <v>1030</v>
      </c>
      <c r="B327" s="9" t="s">
        <v>699</v>
      </c>
      <c r="C327" s="9" t="s">
        <v>700</v>
      </c>
      <c r="D327" s="10">
        <v>42</v>
      </c>
      <c r="E327" s="11" t="s">
        <v>693</v>
      </c>
      <c r="F327">
        <f t="shared" si="5"/>
        <v>286691</v>
      </c>
    </row>
    <row r="328" spans="1:6" x14ac:dyDescent="0.35">
      <c r="A328" s="9" t="s">
        <v>1031</v>
      </c>
      <c r="B328" s="9" t="s">
        <v>699</v>
      </c>
      <c r="C328" s="9" t="s">
        <v>709</v>
      </c>
      <c r="D328" s="10">
        <v>66</v>
      </c>
      <c r="E328" s="11" t="s">
        <v>693</v>
      </c>
      <c r="F328">
        <f t="shared" si="5"/>
        <v>288112</v>
      </c>
    </row>
    <row r="329" spans="1:6" x14ac:dyDescent="0.35">
      <c r="A329" s="9" t="s">
        <v>1032</v>
      </c>
      <c r="B329" s="9" t="s">
        <v>691</v>
      </c>
      <c r="C329" s="9" t="s">
        <v>697</v>
      </c>
      <c r="D329" s="10">
        <v>184</v>
      </c>
      <c r="E329" s="11" t="s">
        <v>693</v>
      </c>
      <c r="F329">
        <f t="shared" si="5"/>
        <v>288293</v>
      </c>
    </row>
    <row r="330" spans="1:6" x14ac:dyDescent="0.35">
      <c r="A330" s="9" t="s">
        <v>1033</v>
      </c>
      <c r="B330" s="9" t="s">
        <v>691</v>
      </c>
      <c r="C330" s="9" t="s">
        <v>728</v>
      </c>
      <c r="D330" s="10">
        <v>225.5</v>
      </c>
      <c r="E330" s="11" t="s">
        <v>693</v>
      </c>
      <c r="F330">
        <f t="shared" si="5"/>
        <v>288339</v>
      </c>
    </row>
    <row r="331" spans="1:6" x14ac:dyDescent="0.35">
      <c r="A331" s="9" t="s">
        <v>1034</v>
      </c>
      <c r="B331" s="9" t="s">
        <v>691</v>
      </c>
      <c r="C331" s="9" t="s">
        <v>740</v>
      </c>
      <c r="D331" s="10">
        <v>126</v>
      </c>
      <c r="E331" s="11" t="s">
        <v>693</v>
      </c>
      <c r="F331">
        <f t="shared" si="5"/>
        <v>288855</v>
      </c>
    </row>
    <row r="332" spans="1:6" x14ac:dyDescent="0.35">
      <c r="A332" s="9" t="s">
        <v>1035</v>
      </c>
      <c r="B332" s="9" t="s">
        <v>691</v>
      </c>
      <c r="C332" s="9" t="s">
        <v>692</v>
      </c>
      <c r="D332" s="10">
        <v>33</v>
      </c>
      <c r="E332" s="11" t="s">
        <v>693</v>
      </c>
      <c r="F332">
        <f t="shared" si="5"/>
        <v>289408</v>
      </c>
    </row>
    <row r="333" spans="1:6" x14ac:dyDescent="0.35">
      <c r="A333" s="9" t="s">
        <v>1036</v>
      </c>
      <c r="B333" s="9" t="s">
        <v>699</v>
      </c>
      <c r="C333" s="9" t="s">
        <v>709</v>
      </c>
      <c r="D333" s="10">
        <v>27</v>
      </c>
      <c r="E333" s="11" t="s">
        <v>693</v>
      </c>
      <c r="F333">
        <f t="shared" si="5"/>
        <v>289411</v>
      </c>
    </row>
    <row r="334" spans="1:6" x14ac:dyDescent="0.35">
      <c r="A334" s="9" t="s">
        <v>1037</v>
      </c>
      <c r="B334" s="9" t="s">
        <v>691</v>
      </c>
      <c r="C334" s="9" t="s">
        <v>728</v>
      </c>
      <c r="D334" s="10">
        <v>119</v>
      </c>
      <c r="E334" s="11" t="s">
        <v>693</v>
      </c>
      <c r="F334">
        <f t="shared" si="5"/>
        <v>289431</v>
      </c>
    </row>
    <row r="335" spans="1:6" x14ac:dyDescent="0.35">
      <c r="A335" s="9" t="s">
        <v>1038</v>
      </c>
      <c r="B335" s="9" t="s">
        <v>699</v>
      </c>
      <c r="C335" s="9" t="s">
        <v>700</v>
      </c>
      <c r="D335" s="10">
        <v>138</v>
      </c>
      <c r="E335" s="11" t="s">
        <v>693</v>
      </c>
      <c r="F335">
        <f t="shared" si="5"/>
        <v>290590</v>
      </c>
    </row>
    <row r="336" spans="1:6" x14ac:dyDescent="0.35">
      <c r="A336" s="9" t="s">
        <v>1039</v>
      </c>
      <c r="B336" s="9" t="s">
        <v>691</v>
      </c>
      <c r="C336" s="9" t="s">
        <v>733</v>
      </c>
      <c r="D336" s="10">
        <v>183</v>
      </c>
      <c r="E336" s="11" t="s">
        <v>693</v>
      </c>
      <c r="F336">
        <f t="shared" si="5"/>
        <v>291500</v>
      </c>
    </row>
    <row r="337" spans="1:6" x14ac:dyDescent="0.35">
      <c r="A337" s="9" t="s">
        <v>1040</v>
      </c>
      <c r="B337" s="9" t="s">
        <v>720</v>
      </c>
      <c r="C337" s="9" t="s">
        <v>725</v>
      </c>
      <c r="D337" s="10">
        <v>12</v>
      </c>
      <c r="E337" s="11" t="s">
        <v>693</v>
      </c>
      <c r="F337">
        <f t="shared" si="5"/>
        <v>292104</v>
      </c>
    </row>
    <row r="338" spans="1:6" x14ac:dyDescent="0.35">
      <c r="A338" s="9" t="s">
        <v>1041</v>
      </c>
      <c r="B338" s="9" t="s">
        <v>720</v>
      </c>
      <c r="C338" s="9" t="s">
        <v>721</v>
      </c>
      <c r="D338" s="10">
        <v>9</v>
      </c>
      <c r="E338" s="11" t="s">
        <v>693</v>
      </c>
      <c r="F338">
        <f t="shared" si="5"/>
        <v>292403</v>
      </c>
    </row>
    <row r="339" spans="1:6" x14ac:dyDescent="0.35">
      <c r="A339" s="9" t="s">
        <v>1042</v>
      </c>
      <c r="B339" s="9" t="s">
        <v>691</v>
      </c>
      <c r="C339" s="9" t="s">
        <v>740</v>
      </c>
      <c r="D339" s="10">
        <v>75</v>
      </c>
      <c r="E339" s="11" t="s">
        <v>693</v>
      </c>
      <c r="F339">
        <f t="shared" si="5"/>
        <v>292488</v>
      </c>
    </row>
    <row r="340" spans="1:6" x14ac:dyDescent="0.35">
      <c r="A340" s="9" t="s">
        <v>1043</v>
      </c>
      <c r="B340" s="9" t="s">
        <v>720</v>
      </c>
      <c r="C340" s="9" t="s">
        <v>721</v>
      </c>
      <c r="D340" s="10">
        <v>150</v>
      </c>
      <c r="E340" s="11" t="s">
        <v>693</v>
      </c>
      <c r="F340">
        <f t="shared" si="5"/>
        <v>292810</v>
      </c>
    </row>
    <row r="341" spans="1:6" x14ac:dyDescent="0.35">
      <c r="A341" s="9" t="s">
        <v>1044</v>
      </c>
      <c r="B341" s="9" t="s">
        <v>691</v>
      </c>
      <c r="C341" s="9" t="s">
        <v>695</v>
      </c>
      <c r="D341" s="10">
        <v>209</v>
      </c>
      <c r="E341" s="11" t="s">
        <v>693</v>
      </c>
      <c r="F341">
        <f t="shared" si="5"/>
        <v>292987</v>
      </c>
    </row>
    <row r="342" spans="1:6" x14ac:dyDescent="0.35">
      <c r="A342" s="9" t="s">
        <v>1045</v>
      </c>
      <c r="B342" s="9" t="s">
        <v>691</v>
      </c>
      <c r="C342" s="9" t="s">
        <v>733</v>
      </c>
      <c r="D342" s="10">
        <v>12</v>
      </c>
      <c r="E342" s="11" t="s">
        <v>693</v>
      </c>
      <c r="F342">
        <f t="shared" si="5"/>
        <v>293084</v>
      </c>
    </row>
    <row r="343" spans="1:6" x14ac:dyDescent="0.35">
      <c r="A343" s="9" t="s">
        <v>1046</v>
      </c>
      <c r="B343" s="9" t="s">
        <v>699</v>
      </c>
      <c r="C343" s="9" t="s">
        <v>702</v>
      </c>
      <c r="D343" s="10">
        <v>36.5</v>
      </c>
      <c r="E343" s="11" t="s">
        <v>693</v>
      </c>
      <c r="F343">
        <f t="shared" si="5"/>
        <v>293485</v>
      </c>
    </row>
    <row r="344" spans="1:6" x14ac:dyDescent="0.35">
      <c r="A344" s="9" t="s">
        <v>1047</v>
      </c>
      <c r="B344" s="9" t="s">
        <v>699</v>
      </c>
      <c r="C344" s="9" t="s">
        <v>702</v>
      </c>
      <c r="D344" s="10">
        <v>30</v>
      </c>
      <c r="E344" s="11" t="s">
        <v>693</v>
      </c>
      <c r="F344">
        <f t="shared" si="5"/>
        <v>294669</v>
      </c>
    </row>
    <row r="345" spans="1:6" x14ac:dyDescent="0.35">
      <c r="A345" s="9" t="s">
        <v>1048</v>
      </c>
      <c r="B345" s="9" t="s">
        <v>691</v>
      </c>
      <c r="C345" s="9" t="s">
        <v>697</v>
      </c>
      <c r="D345" s="10">
        <v>234</v>
      </c>
      <c r="E345" s="11" t="s">
        <v>693</v>
      </c>
      <c r="F345">
        <f t="shared" si="5"/>
        <v>295142</v>
      </c>
    </row>
    <row r="346" spans="1:6" x14ac:dyDescent="0.35">
      <c r="A346" s="9" t="s">
        <v>1049</v>
      </c>
      <c r="B346" s="9" t="s">
        <v>691</v>
      </c>
      <c r="C346" s="9" t="s">
        <v>728</v>
      </c>
      <c r="D346" s="10">
        <v>126</v>
      </c>
      <c r="E346" s="11" t="s">
        <v>693</v>
      </c>
      <c r="F346">
        <f t="shared" si="5"/>
        <v>295696</v>
      </c>
    </row>
    <row r="347" spans="1:6" x14ac:dyDescent="0.35">
      <c r="A347" s="9" t="s">
        <v>1050</v>
      </c>
      <c r="B347" s="9" t="s">
        <v>691</v>
      </c>
      <c r="C347" s="9" t="s">
        <v>695</v>
      </c>
      <c r="D347" s="10">
        <v>498</v>
      </c>
      <c r="E347" s="11" t="s">
        <v>693</v>
      </c>
      <c r="F347">
        <f t="shared" si="5"/>
        <v>295698</v>
      </c>
    </row>
    <row r="348" spans="1:6" x14ac:dyDescent="0.35">
      <c r="A348" s="9" t="s">
        <v>1051</v>
      </c>
      <c r="B348" s="9" t="s">
        <v>720</v>
      </c>
      <c r="C348" s="9" t="s">
        <v>721</v>
      </c>
      <c r="D348" s="10">
        <v>277</v>
      </c>
      <c r="E348" s="11" t="s">
        <v>693</v>
      </c>
      <c r="F348">
        <f t="shared" si="5"/>
        <v>296138</v>
      </c>
    </row>
    <row r="349" spans="1:6" x14ac:dyDescent="0.35">
      <c r="A349" s="9" t="s">
        <v>1052</v>
      </c>
      <c r="B349" s="9" t="s">
        <v>720</v>
      </c>
      <c r="C349" s="9" t="s">
        <v>721</v>
      </c>
      <c r="D349" s="10">
        <v>119</v>
      </c>
      <c r="E349" s="11" t="s">
        <v>693</v>
      </c>
      <c r="F349">
        <f t="shared" si="5"/>
        <v>296171</v>
      </c>
    </row>
    <row r="350" spans="1:6" x14ac:dyDescent="0.35">
      <c r="A350" s="9" t="s">
        <v>1053</v>
      </c>
      <c r="B350" s="9" t="s">
        <v>691</v>
      </c>
      <c r="C350" s="9" t="s">
        <v>733</v>
      </c>
      <c r="D350" s="10">
        <v>63</v>
      </c>
      <c r="E350" s="11" t="s">
        <v>693</v>
      </c>
      <c r="F350">
        <f t="shared" si="5"/>
        <v>296308</v>
      </c>
    </row>
    <row r="351" spans="1:6" x14ac:dyDescent="0.35">
      <c r="A351" s="9" t="s">
        <v>1054</v>
      </c>
      <c r="B351" s="9" t="s">
        <v>691</v>
      </c>
      <c r="C351" s="9" t="s">
        <v>740</v>
      </c>
      <c r="D351" s="10">
        <v>580</v>
      </c>
      <c r="E351" s="11" t="s">
        <v>693</v>
      </c>
      <c r="F351">
        <f t="shared" si="5"/>
        <v>296747</v>
      </c>
    </row>
    <row r="352" spans="1:6" x14ac:dyDescent="0.35">
      <c r="A352" s="9" t="s">
        <v>1055</v>
      </c>
      <c r="B352" s="9" t="s">
        <v>691</v>
      </c>
      <c r="C352" s="9" t="s">
        <v>733</v>
      </c>
      <c r="D352" s="10">
        <v>28</v>
      </c>
      <c r="E352" s="11" t="s">
        <v>693</v>
      </c>
      <c r="F352">
        <f t="shared" si="5"/>
        <v>297159</v>
      </c>
    </row>
    <row r="353" spans="1:6" x14ac:dyDescent="0.35">
      <c r="A353" s="9" t="s">
        <v>1056</v>
      </c>
      <c r="B353" s="9" t="s">
        <v>691</v>
      </c>
      <c r="C353" s="9" t="s">
        <v>733</v>
      </c>
      <c r="D353" s="10">
        <v>15</v>
      </c>
      <c r="E353" s="11" t="s">
        <v>693</v>
      </c>
      <c r="F353">
        <f t="shared" si="5"/>
        <v>297758</v>
      </c>
    </row>
    <row r="354" spans="1:6" x14ac:dyDescent="0.35">
      <c r="A354" s="9" t="s">
        <v>1057</v>
      </c>
      <c r="B354" s="9" t="s">
        <v>699</v>
      </c>
      <c r="C354" s="9" t="s">
        <v>702</v>
      </c>
      <c r="D354" s="10">
        <v>63</v>
      </c>
      <c r="E354" s="11" t="s">
        <v>693</v>
      </c>
      <c r="F354">
        <f t="shared" si="5"/>
        <v>298395</v>
      </c>
    </row>
    <row r="355" spans="1:6" x14ac:dyDescent="0.35">
      <c r="A355" s="9" t="s">
        <v>1058</v>
      </c>
      <c r="B355" s="9" t="s">
        <v>691</v>
      </c>
      <c r="C355" s="9" t="s">
        <v>695</v>
      </c>
      <c r="D355" s="10">
        <v>288</v>
      </c>
      <c r="E355" s="11" t="s">
        <v>693</v>
      </c>
      <c r="F355">
        <f t="shared" si="5"/>
        <v>298396</v>
      </c>
    </row>
    <row r="356" spans="1:6" x14ac:dyDescent="0.35">
      <c r="A356" s="9" t="s">
        <v>1059</v>
      </c>
      <c r="B356" s="9" t="s">
        <v>720</v>
      </c>
      <c r="C356" s="9" t="s">
        <v>725</v>
      </c>
      <c r="D356" s="10">
        <v>81</v>
      </c>
      <c r="E356" s="11" t="s">
        <v>693</v>
      </c>
      <c r="F356">
        <f t="shared" si="5"/>
        <v>298886</v>
      </c>
    </row>
    <row r="357" spans="1:6" x14ac:dyDescent="0.35">
      <c r="A357" s="9" t="s">
        <v>1060</v>
      </c>
      <c r="B357" s="9" t="s">
        <v>699</v>
      </c>
      <c r="C357" s="9" t="s">
        <v>709</v>
      </c>
      <c r="D357" s="10">
        <v>58</v>
      </c>
      <c r="E357" s="11" t="s">
        <v>693</v>
      </c>
      <c r="F357">
        <f t="shared" si="5"/>
        <v>298930</v>
      </c>
    </row>
    <row r="358" spans="1:6" x14ac:dyDescent="0.35">
      <c r="A358" s="9" t="s">
        <v>1061</v>
      </c>
      <c r="B358" s="9" t="s">
        <v>691</v>
      </c>
      <c r="C358" s="9" t="s">
        <v>728</v>
      </c>
      <c r="D358" s="10">
        <v>39</v>
      </c>
      <c r="E358" s="11" t="s">
        <v>693</v>
      </c>
      <c r="F358">
        <f t="shared" si="5"/>
        <v>299250</v>
      </c>
    </row>
    <row r="359" spans="1:6" x14ac:dyDescent="0.35">
      <c r="A359" s="9" t="s">
        <v>1062</v>
      </c>
      <c r="B359" s="9" t="s">
        <v>691</v>
      </c>
      <c r="C359" s="9" t="s">
        <v>692</v>
      </c>
      <c r="D359" s="10">
        <v>25.5</v>
      </c>
      <c r="E359" s="11" t="s">
        <v>693</v>
      </c>
      <c r="F359">
        <f t="shared" si="5"/>
        <v>299293</v>
      </c>
    </row>
    <row r="360" spans="1:6" x14ac:dyDescent="0.35">
      <c r="A360" s="9" t="s">
        <v>1063</v>
      </c>
      <c r="B360" s="9" t="s">
        <v>691</v>
      </c>
      <c r="C360" s="9" t="s">
        <v>728</v>
      </c>
      <c r="D360" s="10">
        <v>225</v>
      </c>
      <c r="E360" s="11" t="s">
        <v>693</v>
      </c>
      <c r="F360">
        <f t="shared" si="5"/>
        <v>299301</v>
      </c>
    </row>
    <row r="361" spans="1:6" x14ac:dyDescent="0.35">
      <c r="A361" s="9" t="s">
        <v>1064</v>
      </c>
      <c r="B361" s="9" t="s">
        <v>691</v>
      </c>
      <c r="C361" s="9" t="s">
        <v>695</v>
      </c>
      <c r="D361" s="10">
        <v>300</v>
      </c>
      <c r="E361" s="11" t="s">
        <v>693</v>
      </c>
      <c r="F361">
        <f t="shared" si="5"/>
        <v>304691</v>
      </c>
    </row>
    <row r="362" spans="1:6" x14ac:dyDescent="0.35">
      <c r="A362" s="9" t="s">
        <v>1065</v>
      </c>
      <c r="B362" s="9" t="s">
        <v>691</v>
      </c>
      <c r="C362" s="9" t="s">
        <v>740</v>
      </c>
      <c r="D362" s="10">
        <v>195</v>
      </c>
      <c r="E362" s="11" t="s">
        <v>693</v>
      </c>
      <c r="F362">
        <f t="shared" si="5"/>
        <v>304744</v>
      </c>
    </row>
    <row r="363" spans="1:6" x14ac:dyDescent="0.35">
      <c r="A363" s="9" t="s">
        <v>1066</v>
      </c>
      <c r="B363" s="9" t="s">
        <v>691</v>
      </c>
      <c r="C363" s="9" t="s">
        <v>740</v>
      </c>
      <c r="D363" s="10">
        <v>81</v>
      </c>
      <c r="E363" s="11" t="s">
        <v>693</v>
      </c>
      <c r="F363">
        <f t="shared" si="5"/>
        <v>304746</v>
      </c>
    </row>
    <row r="364" spans="1:6" x14ac:dyDescent="0.35">
      <c r="A364" s="9" t="s">
        <v>1067</v>
      </c>
      <c r="B364" s="9" t="s">
        <v>720</v>
      </c>
      <c r="C364" s="9" t="s">
        <v>721</v>
      </c>
      <c r="D364" s="10">
        <v>42</v>
      </c>
      <c r="E364" s="11" t="s">
        <v>693</v>
      </c>
      <c r="F364">
        <f t="shared" si="5"/>
        <v>305176</v>
      </c>
    </row>
    <row r="365" spans="1:6" x14ac:dyDescent="0.35">
      <c r="A365" s="9" t="s">
        <v>1068</v>
      </c>
      <c r="B365" s="9" t="s">
        <v>691</v>
      </c>
      <c r="C365" s="9" t="s">
        <v>733</v>
      </c>
      <c r="D365" s="10">
        <v>90</v>
      </c>
      <c r="E365" s="11" t="s">
        <v>693</v>
      </c>
      <c r="F365">
        <f t="shared" si="5"/>
        <v>306123</v>
      </c>
    </row>
    <row r="366" spans="1:6" x14ac:dyDescent="0.35">
      <c r="A366" s="9" t="s">
        <v>1069</v>
      </c>
      <c r="B366" s="9" t="s">
        <v>691</v>
      </c>
      <c r="C366" s="9" t="s">
        <v>733</v>
      </c>
      <c r="D366" s="10">
        <v>57</v>
      </c>
      <c r="E366" s="11" t="s">
        <v>693</v>
      </c>
      <c r="F366">
        <f t="shared" si="5"/>
        <v>306380</v>
      </c>
    </row>
    <row r="367" spans="1:6" x14ac:dyDescent="0.35">
      <c r="A367" s="9" t="s">
        <v>1070</v>
      </c>
      <c r="B367" s="9" t="s">
        <v>691</v>
      </c>
      <c r="C367" s="9" t="s">
        <v>692</v>
      </c>
      <c r="D367" s="10">
        <v>18</v>
      </c>
      <c r="E367" s="11" t="s">
        <v>693</v>
      </c>
      <c r="F367">
        <f t="shared" si="5"/>
        <v>306971</v>
      </c>
    </row>
    <row r="368" spans="1:6" x14ac:dyDescent="0.35">
      <c r="A368" s="9" t="s">
        <v>1071</v>
      </c>
      <c r="B368" s="9" t="s">
        <v>691</v>
      </c>
      <c r="C368" s="9" t="s">
        <v>695</v>
      </c>
      <c r="D368" s="10">
        <v>140</v>
      </c>
      <c r="E368" s="11" t="s">
        <v>693</v>
      </c>
      <c r="F368">
        <f t="shared" si="5"/>
        <v>307928</v>
      </c>
    </row>
    <row r="369" spans="1:6" x14ac:dyDescent="0.35">
      <c r="A369" s="9" t="s">
        <v>1072</v>
      </c>
      <c r="B369" s="9" t="s">
        <v>691</v>
      </c>
      <c r="C369" s="9" t="s">
        <v>692</v>
      </c>
      <c r="D369" s="10">
        <v>58</v>
      </c>
      <c r="E369" s="11" t="s">
        <v>693</v>
      </c>
      <c r="F369">
        <f t="shared" si="5"/>
        <v>308514</v>
      </c>
    </row>
    <row r="370" spans="1:6" x14ac:dyDescent="0.35">
      <c r="A370" s="9" t="s">
        <v>1073</v>
      </c>
      <c r="B370" s="9" t="s">
        <v>691</v>
      </c>
      <c r="C370" s="9" t="s">
        <v>697</v>
      </c>
      <c r="D370" s="10">
        <v>167</v>
      </c>
      <c r="E370" s="11" t="s">
        <v>693</v>
      </c>
      <c r="F370">
        <f t="shared" si="5"/>
        <v>308570</v>
      </c>
    </row>
    <row r="371" spans="1:6" x14ac:dyDescent="0.35">
      <c r="A371" s="9" t="s">
        <v>1074</v>
      </c>
      <c r="B371" s="9" t="s">
        <v>699</v>
      </c>
      <c r="C371" s="9" t="s">
        <v>702</v>
      </c>
      <c r="D371" s="10">
        <v>81</v>
      </c>
      <c r="E371" s="11" t="s">
        <v>693</v>
      </c>
      <c r="F371">
        <f t="shared" si="5"/>
        <v>308586</v>
      </c>
    </row>
    <row r="372" spans="1:6" x14ac:dyDescent="0.35">
      <c r="A372" s="9" t="s">
        <v>1075</v>
      </c>
      <c r="B372" s="9" t="s">
        <v>699</v>
      </c>
      <c r="C372" s="9" t="s">
        <v>709</v>
      </c>
      <c r="D372" s="10">
        <v>67.5</v>
      </c>
      <c r="E372" s="11" t="s">
        <v>693</v>
      </c>
      <c r="F372">
        <f t="shared" si="5"/>
        <v>308595</v>
      </c>
    </row>
    <row r="373" spans="1:6" x14ac:dyDescent="0.35">
      <c r="A373" s="9" t="s">
        <v>1076</v>
      </c>
      <c r="B373" s="9" t="s">
        <v>699</v>
      </c>
      <c r="C373" s="9" t="s">
        <v>702</v>
      </c>
      <c r="D373" s="10">
        <v>76</v>
      </c>
      <c r="E373" s="11" t="s">
        <v>693</v>
      </c>
      <c r="F373">
        <f t="shared" si="5"/>
        <v>308603</v>
      </c>
    </row>
    <row r="374" spans="1:6" x14ac:dyDescent="0.35">
      <c r="A374" s="9" t="s">
        <v>1077</v>
      </c>
      <c r="B374" s="9" t="s">
        <v>691</v>
      </c>
      <c r="C374" s="9" t="s">
        <v>728</v>
      </c>
      <c r="D374" s="10">
        <v>67.5</v>
      </c>
      <c r="E374" s="11" t="s">
        <v>693</v>
      </c>
      <c r="F374">
        <f t="shared" si="5"/>
        <v>308905</v>
      </c>
    </row>
    <row r="375" spans="1:6" x14ac:dyDescent="0.35">
      <c r="A375" s="9" t="s">
        <v>1078</v>
      </c>
      <c r="B375" s="9" t="s">
        <v>720</v>
      </c>
      <c r="C375" s="9" t="s">
        <v>721</v>
      </c>
      <c r="D375" s="10">
        <v>143.5</v>
      </c>
      <c r="E375" s="11" t="s">
        <v>693</v>
      </c>
      <c r="F375">
        <f t="shared" si="5"/>
        <v>309051</v>
      </c>
    </row>
    <row r="376" spans="1:6" x14ac:dyDescent="0.35">
      <c r="A376" s="9" t="s">
        <v>1079</v>
      </c>
      <c r="B376" s="9" t="s">
        <v>720</v>
      </c>
      <c r="C376" s="9" t="s">
        <v>721</v>
      </c>
      <c r="D376" s="10">
        <v>56</v>
      </c>
      <c r="E376" s="11" t="s">
        <v>693</v>
      </c>
      <c r="F376">
        <f t="shared" si="5"/>
        <v>310993</v>
      </c>
    </row>
    <row r="377" spans="1:6" x14ac:dyDescent="0.35">
      <c r="A377" s="9" t="s">
        <v>1080</v>
      </c>
      <c r="B377" s="9" t="s">
        <v>691</v>
      </c>
      <c r="C377" s="9" t="s">
        <v>733</v>
      </c>
      <c r="D377" s="10">
        <v>9</v>
      </c>
      <c r="E377" s="11" t="s">
        <v>693</v>
      </c>
      <c r="F377">
        <f t="shared" si="5"/>
        <v>311268</v>
      </c>
    </row>
    <row r="378" spans="1:6" x14ac:dyDescent="0.35">
      <c r="A378" s="9" t="s">
        <v>1081</v>
      </c>
      <c r="B378" s="9" t="s">
        <v>720</v>
      </c>
      <c r="C378" s="9" t="s">
        <v>721</v>
      </c>
      <c r="D378" s="10">
        <v>144.5</v>
      </c>
      <c r="E378" s="11" t="s">
        <v>693</v>
      </c>
      <c r="F378">
        <f t="shared" si="5"/>
        <v>311309</v>
      </c>
    </row>
    <row r="379" spans="1:6" x14ac:dyDescent="0.35">
      <c r="A379" s="9" t="s">
        <v>1082</v>
      </c>
      <c r="B379" s="9" t="s">
        <v>699</v>
      </c>
      <c r="C379" s="9" t="s">
        <v>700</v>
      </c>
      <c r="D379" s="10">
        <v>333</v>
      </c>
      <c r="E379" s="11" t="s">
        <v>693</v>
      </c>
      <c r="F379">
        <f t="shared" si="5"/>
        <v>311572</v>
      </c>
    </row>
    <row r="380" spans="1:6" x14ac:dyDescent="0.35">
      <c r="A380" s="9" t="s">
        <v>1083</v>
      </c>
      <c r="B380" s="9" t="s">
        <v>699</v>
      </c>
      <c r="C380" s="9" t="s">
        <v>700</v>
      </c>
      <c r="D380" s="10">
        <v>78</v>
      </c>
      <c r="E380" s="11" t="s">
        <v>693</v>
      </c>
      <c r="F380">
        <f t="shared" si="5"/>
        <v>311580</v>
      </c>
    </row>
    <row r="381" spans="1:6" x14ac:dyDescent="0.35">
      <c r="A381" s="9" t="s">
        <v>1084</v>
      </c>
      <c r="B381" s="9" t="s">
        <v>699</v>
      </c>
      <c r="C381" s="9" t="s">
        <v>702</v>
      </c>
      <c r="D381" s="10">
        <v>41.5</v>
      </c>
      <c r="E381" s="11" t="s">
        <v>693</v>
      </c>
      <c r="F381">
        <f t="shared" si="5"/>
        <v>312274</v>
      </c>
    </row>
    <row r="382" spans="1:6" x14ac:dyDescent="0.35">
      <c r="A382" s="9" t="s">
        <v>1085</v>
      </c>
      <c r="B382" s="9" t="s">
        <v>699</v>
      </c>
      <c r="C382" s="9" t="s">
        <v>702</v>
      </c>
      <c r="D382" s="10">
        <v>27</v>
      </c>
      <c r="E382" s="11" t="s">
        <v>693</v>
      </c>
      <c r="F382">
        <f t="shared" si="5"/>
        <v>312338</v>
      </c>
    </row>
    <row r="383" spans="1:6" x14ac:dyDescent="0.35">
      <c r="A383" s="9" t="s">
        <v>1086</v>
      </c>
      <c r="B383" s="9" t="s">
        <v>691</v>
      </c>
      <c r="C383" s="9" t="s">
        <v>695</v>
      </c>
      <c r="D383" s="10">
        <v>324</v>
      </c>
      <c r="E383" s="11" t="s">
        <v>693</v>
      </c>
      <c r="F383">
        <f t="shared" si="5"/>
        <v>312681</v>
      </c>
    </row>
    <row r="384" spans="1:6" x14ac:dyDescent="0.35">
      <c r="A384" s="9" t="s">
        <v>1087</v>
      </c>
      <c r="B384" s="9" t="s">
        <v>691</v>
      </c>
      <c r="C384" s="9" t="s">
        <v>740</v>
      </c>
      <c r="D384" s="10">
        <v>30.5</v>
      </c>
      <c r="E384" s="11" t="s">
        <v>693</v>
      </c>
      <c r="F384">
        <f t="shared" si="5"/>
        <v>312828</v>
      </c>
    </row>
    <row r="385" spans="1:6" x14ac:dyDescent="0.35">
      <c r="A385" s="9" t="s">
        <v>1088</v>
      </c>
      <c r="B385" s="9" t="s">
        <v>691</v>
      </c>
      <c r="C385" s="9" t="s">
        <v>728</v>
      </c>
      <c r="D385" s="10">
        <v>174</v>
      </c>
      <c r="E385" s="11" t="s">
        <v>693</v>
      </c>
      <c r="F385">
        <f t="shared" si="5"/>
        <v>313338</v>
      </c>
    </row>
    <row r="386" spans="1:6" x14ac:dyDescent="0.35">
      <c r="A386" s="9" t="s">
        <v>1089</v>
      </c>
      <c r="B386" s="9" t="s">
        <v>691</v>
      </c>
      <c r="C386" s="9" t="s">
        <v>728</v>
      </c>
      <c r="D386" s="10">
        <v>21</v>
      </c>
      <c r="E386" s="11" t="s">
        <v>693</v>
      </c>
      <c r="F386">
        <f t="shared" si="5"/>
        <v>313960</v>
      </c>
    </row>
    <row r="387" spans="1:6" x14ac:dyDescent="0.35">
      <c r="A387" s="9" t="s">
        <v>1090</v>
      </c>
      <c r="B387" s="9" t="s">
        <v>691</v>
      </c>
      <c r="C387" s="9" t="s">
        <v>728</v>
      </c>
      <c r="D387" s="10">
        <v>81.5</v>
      </c>
      <c r="E387" s="11" t="s">
        <v>693</v>
      </c>
      <c r="F387">
        <f t="shared" ref="F387:F450" si="6">VALUE(LEFT(A387,FIND(" ",A387)-1))</f>
        <v>315103</v>
      </c>
    </row>
    <row r="388" spans="1:6" x14ac:dyDescent="0.35">
      <c r="A388" s="9" t="s">
        <v>1091</v>
      </c>
      <c r="B388" s="9" t="s">
        <v>691</v>
      </c>
      <c r="C388" s="9" t="s">
        <v>728</v>
      </c>
      <c r="D388" s="10">
        <v>26.5</v>
      </c>
      <c r="E388" s="11" t="s">
        <v>693</v>
      </c>
      <c r="F388">
        <f t="shared" si="6"/>
        <v>315209</v>
      </c>
    </row>
    <row r="389" spans="1:6" x14ac:dyDescent="0.35">
      <c r="A389" s="9" t="s">
        <v>1092</v>
      </c>
      <c r="B389" s="9" t="s">
        <v>691</v>
      </c>
      <c r="C389" s="9" t="s">
        <v>697</v>
      </c>
      <c r="D389" s="10">
        <v>18</v>
      </c>
      <c r="E389" s="11" t="s">
        <v>693</v>
      </c>
      <c r="F389">
        <f t="shared" si="6"/>
        <v>316807</v>
      </c>
    </row>
    <row r="390" spans="1:6" x14ac:dyDescent="0.35">
      <c r="A390" s="9" t="s">
        <v>1093</v>
      </c>
      <c r="B390" s="9" t="s">
        <v>691</v>
      </c>
      <c r="C390" s="9" t="s">
        <v>733</v>
      </c>
      <c r="D390" s="10">
        <v>24</v>
      </c>
      <c r="E390" s="11" t="s">
        <v>693</v>
      </c>
      <c r="F390">
        <f t="shared" si="6"/>
        <v>319406</v>
      </c>
    </row>
    <row r="391" spans="1:6" x14ac:dyDescent="0.35">
      <c r="A391" s="9" t="s">
        <v>1094</v>
      </c>
      <c r="B391" s="9" t="s">
        <v>691</v>
      </c>
      <c r="C391" s="9" t="s">
        <v>697</v>
      </c>
      <c r="D391" s="10">
        <v>55</v>
      </c>
      <c r="E391" s="11" t="s">
        <v>693</v>
      </c>
      <c r="F391">
        <f t="shared" si="6"/>
        <v>319411</v>
      </c>
    </row>
    <row r="392" spans="1:6" x14ac:dyDescent="0.35">
      <c r="A392" s="9" t="s">
        <v>1095</v>
      </c>
      <c r="B392" s="9" t="s">
        <v>699</v>
      </c>
      <c r="C392" s="9" t="s">
        <v>700</v>
      </c>
      <c r="D392" s="10">
        <v>21</v>
      </c>
      <c r="E392" s="11" t="s">
        <v>693</v>
      </c>
      <c r="F392">
        <f t="shared" si="6"/>
        <v>320001</v>
      </c>
    </row>
    <row r="393" spans="1:6" x14ac:dyDescent="0.35">
      <c r="A393" s="9" t="s">
        <v>1096</v>
      </c>
      <c r="B393" s="9" t="s">
        <v>699</v>
      </c>
      <c r="C393" s="9" t="s">
        <v>709</v>
      </c>
      <c r="D393" s="10">
        <v>93.5</v>
      </c>
      <c r="E393" s="11" t="s">
        <v>693</v>
      </c>
      <c r="F393">
        <f t="shared" si="6"/>
        <v>323650</v>
      </c>
    </row>
    <row r="394" spans="1:6" x14ac:dyDescent="0.35">
      <c r="A394" s="9" t="s">
        <v>1097</v>
      </c>
      <c r="B394" s="9" t="s">
        <v>720</v>
      </c>
      <c r="C394" s="9" t="s">
        <v>725</v>
      </c>
      <c r="D394" s="10">
        <v>133</v>
      </c>
      <c r="E394" s="11" t="s">
        <v>693</v>
      </c>
      <c r="F394">
        <f t="shared" si="6"/>
        <v>324304</v>
      </c>
    </row>
    <row r="395" spans="1:6" x14ac:dyDescent="0.35">
      <c r="A395" s="9" t="s">
        <v>1098</v>
      </c>
      <c r="B395" s="9" t="s">
        <v>691</v>
      </c>
      <c r="C395" s="9" t="s">
        <v>740</v>
      </c>
      <c r="D395" s="10">
        <v>316</v>
      </c>
      <c r="E395" s="11" t="s">
        <v>693</v>
      </c>
      <c r="F395">
        <f t="shared" si="6"/>
        <v>325050</v>
      </c>
    </row>
    <row r="396" spans="1:6" x14ac:dyDescent="0.35">
      <c r="A396" s="9" t="s">
        <v>1099</v>
      </c>
      <c r="B396" s="9" t="s">
        <v>691</v>
      </c>
      <c r="C396" s="9" t="s">
        <v>692</v>
      </c>
      <c r="D396" s="10">
        <v>50.5</v>
      </c>
      <c r="E396" s="11" t="s">
        <v>693</v>
      </c>
      <c r="F396">
        <f t="shared" si="6"/>
        <v>325054</v>
      </c>
    </row>
    <row r="397" spans="1:6" x14ac:dyDescent="0.35">
      <c r="A397" s="9" t="s">
        <v>1100</v>
      </c>
      <c r="B397" s="9" t="s">
        <v>691</v>
      </c>
      <c r="C397" s="9" t="s">
        <v>728</v>
      </c>
      <c r="D397" s="10">
        <v>34</v>
      </c>
      <c r="E397" s="11" t="s">
        <v>693</v>
      </c>
      <c r="F397">
        <f t="shared" si="6"/>
        <v>325871</v>
      </c>
    </row>
    <row r="398" spans="1:6" x14ac:dyDescent="0.35">
      <c r="A398" s="9" t="s">
        <v>1101</v>
      </c>
      <c r="B398" s="9" t="s">
        <v>691</v>
      </c>
      <c r="C398" s="9" t="s">
        <v>692</v>
      </c>
      <c r="D398" s="10">
        <v>54</v>
      </c>
      <c r="E398" s="11" t="s">
        <v>693</v>
      </c>
      <c r="F398">
        <f t="shared" si="6"/>
        <v>325976</v>
      </c>
    </row>
    <row r="399" spans="1:6" x14ac:dyDescent="0.35">
      <c r="A399" s="9" t="s">
        <v>1102</v>
      </c>
      <c r="B399" s="9" t="s">
        <v>691</v>
      </c>
      <c r="C399" s="9" t="s">
        <v>692</v>
      </c>
      <c r="D399" s="10">
        <v>26</v>
      </c>
      <c r="E399" s="11" t="s">
        <v>693</v>
      </c>
      <c r="F399">
        <f t="shared" si="6"/>
        <v>326616</v>
      </c>
    </row>
    <row r="400" spans="1:6" x14ac:dyDescent="0.35">
      <c r="A400" s="9" t="s">
        <v>1103</v>
      </c>
      <c r="B400" s="9" t="s">
        <v>691</v>
      </c>
      <c r="C400" s="9" t="s">
        <v>692</v>
      </c>
      <c r="D400" s="10">
        <v>65.5</v>
      </c>
      <c r="E400" s="11" t="s">
        <v>693</v>
      </c>
      <c r="F400">
        <f t="shared" si="6"/>
        <v>326627</v>
      </c>
    </row>
    <row r="401" spans="1:6" x14ac:dyDescent="0.35">
      <c r="A401" s="9" t="s">
        <v>1104</v>
      </c>
      <c r="B401" s="9" t="s">
        <v>720</v>
      </c>
      <c r="C401" s="9" t="s">
        <v>725</v>
      </c>
      <c r="D401" s="10">
        <v>117.5</v>
      </c>
      <c r="E401" s="11" t="s">
        <v>693</v>
      </c>
      <c r="F401">
        <f t="shared" si="6"/>
        <v>326650</v>
      </c>
    </row>
    <row r="402" spans="1:6" x14ac:dyDescent="0.35">
      <c r="A402" s="9" t="s">
        <v>1105</v>
      </c>
      <c r="B402" s="9" t="s">
        <v>720</v>
      </c>
      <c r="C402" s="9" t="s">
        <v>725</v>
      </c>
      <c r="D402" s="10">
        <v>32</v>
      </c>
      <c r="E402" s="11" t="s">
        <v>693</v>
      </c>
      <c r="F402">
        <f t="shared" si="6"/>
        <v>327530</v>
      </c>
    </row>
    <row r="403" spans="1:6" x14ac:dyDescent="0.35">
      <c r="A403" s="9" t="s">
        <v>1106</v>
      </c>
      <c r="B403" s="9" t="s">
        <v>691</v>
      </c>
      <c r="C403" s="9" t="s">
        <v>692</v>
      </c>
      <c r="D403" s="10">
        <v>37</v>
      </c>
      <c r="E403" s="11" t="s">
        <v>693</v>
      </c>
      <c r="F403">
        <f t="shared" si="6"/>
        <v>327553</v>
      </c>
    </row>
    <row r="404" spans="1:6" x14ac:dyDescent="0.35">
      <c r="A404" s="9" t="s">
        <v>1107</v>
      </c>
      <c r="B404" s="9" t="s">
        <v>720</v>
      </c>
      <c r="C404" s="9" t="s">
        <v>721</v>
      </c>
      <c r="D404" s="10">
        <v>59</v>
      </c>
      <c r="E404" s="11" t="s">
        <v>693</v>
      </c>
      <c r="F404">
        <f t="shared" si="6"/>
        <v>327559</v>
      </c>
    </row>
    <row r="405" spans="1:6" x14ac:dyDescent="0.35">
      <c r="A405" s="9" t="s">
        <v>1108</v>
      </c>
      <c r="B405" s="9" t="s">
        <v>699</v>
      </c>
      <c r="C405" s="9" t="s">
        <v>709</v>
      </c>
      <c r="D405" s="10">
        <v>39</v>
      </c>
      <c r="E405" s="11" t="s">
        <v>693</v>
      </c>
      <c r="F405">
        <f t="shared" si="6"/>
        <v>328581</v>
      </c>
    </row>
    <row r="406" spans="1:6" x14ac:dyDescent="0.35">
      <c r="A406" s="9" t="s">
        <v>1109</v>
      </c>
      <c r="B406" s="9" t="s">
        <v>720</v>
      </c>
      <c r="C406" s="9" t="s">
        <v>725</v>
      </c>
      <c r="D406" s="10">
        <v>33</v>
      </c>
      <c r="E406" s="11" t="s">
        <v>693</v>
      </c>
      <c r="F406">
        <f t="shared" si="6"/>
        <v>328609</v>
      </c>
    </row>
    <row r="407" spans="1:6" x14ac:dyDescent="0.35">
      <c r="A407" s="9" t="s">
        <v>1110</v>
      </c>
      <c r="B407" s="9" t="s">
        <v>699</v>
      </c>
      <c r="C407" s="9" t="s">
        <v>702</v>
      </c>
      <c r="D407" s="10">
        <v>33</v>
      </c>
      <c r="E407" s="11" t="s">
        <v>693</v>
      </c>
      <c r="F407">
        <f t="shared" si="6"/>
        <v>328616</v>
      </c>
    </row>
    <row r="408" spans="1:6" x14ac:dyDescent="0.35">
      <c r="A408" s="9" t="s">
        <v>1111</v>
      </c>
      <c r="B408" s="9" t="s">
        <v>691</v>
      </c>
      <c r="C408" s="9" t="s">
        <v>733</v>
      </c>
      <c r="D408" s="10">
        <v>1189</v>
      </c>
      <c r="E408" s="11" t="s">
        <v>693</v>
      </c>
      <c r="F408">
        <f t="shared" si="6"/>
        <v>329224</v>
      </c>
    </row>
    <row r="409" spans="1:6" x14ac:dyDescent="0.35">
      <c r="A409" s="9" t="s">
        <v>1112</v>
      </c>
      <c r="B409" s="9" t="s">
        <v>691</v>
      </c>
      <c r="C409" s="9" t="s">
        <v>695</v>
      </c>
      <c r="D409" s="10">
        <v>230</v>
      </c>
      <c r="E409" s="11" t="s">
        <v>693</v>
      </c>
      <c r="F409">
        <f t="shared" si="6"/>
        <v>331151</v>
      </c>
    </row>
    <row r="410" spans="1:6" x14ac:dyDescent="0.35">
      <c r="A410" s="9" t="s">
        <v>1113</v>
      </c>
      <c r="B410" s="9" t="s">
        <v>699</v>
      </c>
      <c r="C410" s="9" t="s">
        <v>700</v>
      </c>
      <c r="D410" s="10">
        <v>63</v>
      </c>
      <c r="E410" s="11" t="s">
        <v>693</v>
      </c>
      <c r="F410">
        <f t="shared" si="6"/>
        <v>331158</v>
      </c>
    </row>
    <row r="411" spans="1:6" x14ac:dyDescent="0.35">
      <c r="A411" s="9" t="s">
        <v>1114</v>
      </c>
      <c r="B411" s="9" t="s">
        <v>720</v>
      </c>
      <c r="C411" s="9" t="s">
        <v>721</v>
      </c>
      <c r="D411" s="10">
        <v>59.5</v>
      </c>
      <c r="E411" s="11" t="s">
        <v>693</v>
      </c>
      <c r="F411">
        <f t="shared" si="6"/>
        <v>331184</v>
      </c>
    </row>
    <row r="412" spans="1:6" x14ac:dyDescent="0.35">
      <c r="A412" s="9" t="s">
        <v>1115</v>
      </c>
      <c r="B412" s="9" t="s">
        <v>691</v>
      </c>
      <c r="C412" s="9" t="s">
        <v>728</v>
      </c>
      <c r="D412" s="10">
        <v>143</v>
      </c>
      <c r="E412" s="11" t="s">
        <v>693</v>
      </c>
      <c r="F412">
        <f t="shared" si="6"/>
        <v>331375</v>
      </c>
    </row>
    <row r="413" spans="1:6" x14ac:dyDescent="0.35">
      <c r="A413" s="9" t="s">
        <v>1116</v>
      </c>
      <c r="B413" s="9" t="s">
        <v>691</v>
      </c>
      <c r="C413" s="9" t="s">
        <v>740</v>
      </c>
      <c r="D413" s="10">
        <v>215</v>
      </c>
      <c r="E413" s="11" t="s">
        <v>693</v>
      </c>
      <c r="F413">
        <f t="shared" si="6"/>
        <v>331708</v>
      </c>
    </row>
    <row r="414" spans="1:6" x14ac:dyDescent="0.35">
      <c r="A414" s="9" t="s">
        <v>1117</v>
      </c>
      <c r="B414" s="9" t="s">
        <v>691</v>
      </c>
      <c r="C414" s="9" t="s">
        <v>692</v>
      </c>
      <c r="D414" s="10">
        <v>163</v>
      </c>
      <c r="E414" s="11" t="s">
        <v>693</v>
      </c>
      <c r="F414">
        <f t="shared" si="6"/>
        <v>331907</v>
      </c>
    </row>
    <row r="415" spans="1:6" x14ac:dyDescent="0.35">
      <c r="A415" s="9" t="s">
        <v>1118</v>
      </c>
      <c r="B415" s="9" t="s">
        <v>691</v>
      </c>
      <c r="C415" s="9" t="s">
        <v>733</v>
      </c>
      <c r="D415" s="10">
        <v>111</v>
      </c>
      <c r="E415" s="11" t="s">
        <v>693</v>
      </c>
      <c r="F415">
        <f t="shared" si="6"/>
        <v>332065</v>
      </c>
    </row>
    <row r="416" spans="1:6" x14ac:dyDescent="0.35">
      <c r="A416" s="9" t="s">
        <v>1119</v>
      </c>
      <c r="B416" s="9" t="s">
        <v>691</v>
      </c>
      <c r="C416" s="9" t="s">
        <v>740</v>
      </c>
      <c r="D416" s="10">
        <v>57</v>
      </c>
      <c r="E416" s="11" t="s">
        <v>693</v>
      </c>
      <c r="F416">
        <f t="shared" si="6"/>
        <v>332691</v>
      </c>
    </row>
    <row r="417" spans="1:6" x14ac:dyDescent="0.35">
      <c r="A417" s="9" t="s">
        <v>1120</v>
      </c>
      <c r="B417" s="9" t="s">
        <v>699</v>
      </c>
      <c r="C417" s="9" t="s">
        <v>700</v>
      </c>
      <c r="D417" s="10">
        <v>121</v>
      </c>
      <c r="E417" s="11" t="s">
        <v>693</v>
      </c>
      <c r="F417">
        <f t="shared" si="6"/>
        <v>332702</v>
      </c>
    </row>
    <row r="418" spans="1:6" x14ac:dyDescent="0.35">
      <c r="A418" s="9" t="s">
        <v>1121</v>
      </c>
      <c r="B418" s="9" t="s">
        <v>720</v>
      </c>
      <c r="C418" s="9" t="s">
        <v>721</v>
      </c>
      <c r="D418" s="10">
        <v>27</v>
      </c>
      <c r="E418" s="11" t="s">
        <v>693</v>
      </c>
      <c r="F418">
        <f t="shared" si="6"/>
        <v>332711</v>
      </c>
    </row>
    <row r="419" spans="1:6" x14ac:dyDescent="0.35">
      <c r="A419" s="9" t="s">
        <v>1122</v>
      </c>
      <c r="B419" s="9" t="s">
        <v>699</v>
      </c>
      <c r="C419" s="9" t="s">
        <v>702</v>
      </c>
      <c r="D419" s="10">
        <v>18</v>
      </c>
      <c r="E419" s="11" t="s">
        <v>693</v>
      </c>
      <c r="F419">
        <f t="shared" si="6"/>
        <v>332752</v>
      </c>
    </row>
    <row r="420" spans="1:6" x14ac:dyDescent="0.35">
      <c r="A420" s="9" t="s">
        <v>1123</v>
      </c>
      <c r="B420" s="9" t="s">
        <v>691</v>
      </c>
      <c r="C420" s="9" t="s">
        <v>697</v>
      </c>
      <c r="D420" s="10">
        <v>24</v>
      </c>
      <c r="E420" s="11" t="s">
        <v>693</v>
      </c>
      <c r="F420">
        <f t="shared" si="6"/>
        <v>332796</v>
      </c>
    </row>
    <row r="421" spans="1:6" x14ac:dyDescent="0.35">
      <c r="A421" s="9" t="s">
        <v>1124</v>
      </c>
      <c r="B421" s="9" t="s">
        <v>691</v>
      </c>
      <c r="C421" s="9" t="s">
        <v>733</v>
      </c>
      <c r="D421" s="10">
        <v>24</v>
      </c>
      <c r="E421" s="11" t="s">
        <v>693</v>
      </c>
      <c r="F421">
        <f t="shared" si="6"/>
        <v>332801</v>
      </c>
    </row>
    <row r="422" spans="1:6" x14ac:dyDescent="0.35">
      <c r="A422" s="9" t="s">
        <v>1125</v>
      </c>
      <c r="B422" s="9" t="s">
        <v>691</v>
      </c>
      <c r="C422" s="9" t="s">
        <v>740</v>
      </c>
      <c r="D422" s="10">
        <v>65.5</v>
      </c>
      <c r="E422" s="11" t="s">
        <v>693</v>
      </c>
      <c r="F422">
        <f t="shared" si="6"/>
        <v>333846</v>
      </c>
    </row>
    <row r="423" spans="1:6" x14ac:dyDescent="0.35">
      <c r="A423" s="9" t="s">
        <v>1126</v>
      </c>
      <c r="B423" s="9" t="s">
        <v>691</v>
      </c>
      <c r="C423" s="9" t="s">
        <v>697</v>
      </c>
      <c r="D423" s="10">
        <v>21</v>
      </c>
      <c r="E423" s="11" t="s">
        <v>693</v>
      </c>
      <c r="F423">
        <f t="shared" si="6"/>
        <v>333927</v>
      </c>
    </row>
    <row r="424" spans="1:6" x14ac:dyDescent="0.35">
      <c r="A424" s="9" t="s">
        <v>1127</v>
      </c>
      <c r="B424" s="9" t="s">
        <v>691</v>
      </c>
      <c r="C424" s="9" t="s">
        <v>740</v>
      </c>
      <c r="D424" s="10">
        <v>60</v>
      </c>
      <c r="E424" s="11" t="s">
        <v>693</v>
      </c>
      <c r="F424">
        <f t="shared" si="6"/>
        <v>334432</v>
      </c>
    </row>
    <row r="425" spans="1:6" x14ac:dyDescent="0.35">
      <c r="A425" s="9" t="s">
        <v>1128</v>
      </c>
      <c r="B425" s="9" t="s">
        <v>691</v>
      </c>
      <c r="C425" s="9" t="s">
        <v>740</v>
      </c>
      <c r="D425" s="10">
        <v>160</v>
      </c>
      <c r="E425" s="11" t="s">
        <v>693</v>
      </c>
      <c r="F425">
        <f t="shared" si="6"/>
        <v>334612</v>
      </c>
    </row>
    <row r="426" spans="1:6" x14ac:dyDescent="0.35">
      <c r="A426" s="9" t="s">
        <v>1129</v>
      </c>
      <c r="B426" s="9" t="s">
        <v>691</v>
      </c>
      <c r="C426" s="9" t="s">
        <v>697</v>
      </c>
      <c r="D426" s="10">
        <v>55</v>
      </c>
      <c r="E426" s="11" t="s">
        <v>693</v>
      </c>
      <c r="F426">
        <f t="shared" si="6"/>
        <v>334890</v>
      </c>
    </row>
    <row r="427" spans="1:6" x14ac:dyDescent="0.35">
      <c r="A427" s="9" t="s">
        <v>1130</v>
      </c>
      <c r="B427" s="9" t="s">
        <v>691</v>
      </c>
      <c r="C427" s="9" t="s">
        <v>697</v>
      </c>
      <c r="D427" s="10">
        <v>533</v>
      </c>
      <c r="E427" s="11" t="s">
        <v>693</v>
      </c>
      <c r="F427">
        <f t="shared" si="6"/>
        <v>335113</v>
      </c>
    </row>
    <row r="428" spans="1:6" x14ac:dyDescent="0.35">
      <c r="A428" s="9" t="s">
        <v>1131</v>
      </c>
      <c r="B428" s="9" t="s">
        <v>691</v>
      </c>
      <c r="C428" s="9" t="s">
        <v>692</v>
      </c>
      <c r="D428" s="10">
        <v>27</v>
      </c>
      <c r="E428" s="11" t="s">
        <v>693</v>
      </c>
      <c r="F428">
        <f t="shared" si="6"/>
        <v>335534</v>
      </c>
    </row>
    <row r="429" spans="1:6" x14ac:dyDescent="0.35">
      <c r="A429" s="9" t="s">
        <v>1132</v>
      </c>
      <c r="B429" s="9" t="s">
        <v>691</v>
      </c>
      <c r="C429" s="9" t="s">
        <v>728</v>
      </c>
      <c r="D429" s="10">
        <v>194</v>
      </c>
      <c r="E429" s="11" t="s">
        <v>693</v>
      </c>
      <c r="F429">
        <f t="shared" si="6"/>
        <v>335558</v>
      </c>
    </row>
    <row r="430" spans="1:6" x14ac:dyDescent="0.35">
      <c r="A430" s="9" t="s">
        <v>1133</v>
      </c>
      <c r="B430" s="9" t="s">
        <v>720</v>
      </c>
      <c r="C430" s="9" t="s">
        <v>721</v>
      </c>
      <c r="D430" s="10">
        <v>95.5</v>
      </c>
      <c r="E430" s="11" t="s">
        <v>693</v>
      </c>
      <c r="F430">
        <f t="shared" si="6"/>
        <v>335564</v>
      </c>
    </row>
    <row r="431" spans="1:6" x14ac:dyDescent="0.35">
      <c r="A431" s="9" t="s">
        <v>1134</v>
      </c>
      <c r="B431" s="9" t="s">
        <v>720</v>
      </c>
      <c r="C431" s="9" t="s">
        <v>725</v>
      </c>
      <c r="D431" s="10">
        <v>6</v>
      </c>
      <c r="E431" s="11" t="s">
        <v>693</v>
      </c>
      <c r="F431">
        <f t="shared" si="6"/>
        <v>335581</v>
      </c>
    </row>
    <row r="432" spans="1:6" x14ac:dyDescent="0.35">
      <c r="A432" s="9" t="s">
        <v>1135</v>
      </c>
      <c r="B432" s="9" t="s">
        <v>691</v>
      </c>
      <c r="C432" s="9" t="s">
        <v>740</v>
      </c>
      <c r="D432" s="10">
        <v>104.5</v>
      </c>
      <c r="E432" s="11" t="s">
        <v>693</v>
      </c>
      <c r="F432">
        <f t="shared" si="6"/>
        <v>336345</v>
      </c>
    </row>
    <row r="433" spans="1:6" x14ac:dyDescent="0.35">
      <c r="A433" s="9" t="s">
        <v>1136</v>
      </c>
      <c r="B433" s="9" t="s">
        <v>691</v>
      </c>
      <c r="C433" s="9" t="s">
        <v>697</v>
      </c>
      <c r="D433" s="10">
        <v>640</v>
      </c>
      <c r="E433" s="11" t="s">
        <v>693</v>
      </c>
      <c r="F433">
        <f t="shared" si="6"/>
        <v>336616</v>
      </c>
    </row>
    <row r="434" spans="1:6" x14ac:dyDescent="0.35">
      <c r="A434" s="9" t="s">
        <v>1137</v>
      </c>
      <c r="B434" s="9" t="s">
        <v>691</v>
      </c>
      <c r="C434" s="9" t="s">
        <v>728</v>
      </c>
      <c r="D434" s="10">
        <v>18</v>
      </c>
      <c r="E434" s="11" t="s">
        <v>693</v>
      </c>
      <c r="F434">
        <f t="shared" si="6"/>
        <v>336622</v>
      </c>
    </row>
    <row r="435" spans="1:6" x14ac:dyDescent="0.35">
      <c r="A435" s="9" t="s">
        <v>1138</v>
      </c>
      <c r="B435" s="9" t="s">
        <v>720</v>
      </c>
      <c r="C435" s="9" t="s">
        <v>721</v>
      </c>
      <c r="D435" s="10">
        <v>136</v>
      </c>
      <c r="E435" s="11" t="s">
        <v>693</v>
      </c>
      <c r="F435">
        <f t="shared" si="6"/>
        <v>336754</v>
      </c>
    </row>
    <row r="436" spans="1:6" x14ac:dyDescent="0.35">
      <c r="A436" s="9" t="s">
        <v>1139</v>
      </c>
      <c r="B436" s="9" t="s">
        <v>691</v>
      </c>
      <c r="C436" s="9" t="s">
        <v>733</v>
      </c>
      <c r="D436" s="10">
        <v>141</v>
      </c>
      <c r="E436" s="11" t="s">
        <v>693</v>
      </c>
      <c r="F436">
        <f t="shared" si="6"/>
        <v>336875</v>
      </c>
    </row>
    <row r="437" spans="1:6" x14ac:dyDescent="0.35">
      <c r="A437" s="9" t="s">
        <v>1140</v>
      </c>
      <c r="B437" s="9" t="s">
        <v>691</v>
      </c>
      <c r="C437" s="9" t="s">
        <v>692</v>
      </c>
      <c r="D437" s="10">
        <v>142</v>
      </c>
      <c r="E437" s="11" t="s">
        <v>693</v>
      </c>
      <c r="F437">
        <f t="shared" si="6"/>
        <v>337104</v>
      </c>
    </row>
    <row r="438" spans="1:6" x14ac:dyDescent="0.35">
      <c r="A438" s="9" t="s">
        <v>1141</v>
      </c>
      <c r="B438" s="9" t="s">
        <v>699</v>
      </c>
      <c r="C438" s="9" t="s">
        <v>700</v>
      </c>
      <c r="D438" s="10">
        <v>31</v>
      </c>
      <c r="E438" s="11" t="s">
        <v>693</v>
      </c>
      <c r="F438">
        <f t="shared" si="6"/>
        <v>337539</v>
      </c>
    </row>
    <row r="439" spans="1:6" x14ac:dyDescent="0.35">
      <c r="A439" s="9" t="s">
        <v>1142</v>
      </c>
      <c r="B439" s="9" t="s">
        <v>699</v>
      </c>
      <c r="C439" s="9" t="s">
        <v>709</v>
      </c>
      <c r="D439" s="10">
        <v>40.5</v>
      </c>
      <c r="E439" s="11" t="s">
        <v>693</v>
      </c>
      <c r="F439">
        <f t="shared" si="6"/>
        <v>337607</v>
      </c>
    </row>
    <row r="440" spans="1:6" x14ac:dyDescent="0.35">
      <c r="A440" s="9" t="s">
        <v>1143</v>
      </c>
      <c r="B440" s="9" t="s">
        <v>720</v>
      </c>
      <c r="C440" s="9" t="s">
        <v>725</v>
      </c>
      <c r="D440" s="10">
        <v>252</v>
      </c>
      <c r="E440" s="11" t="s">
        <v>693</v>
      </c>
      <c r="F440">
        <f t="shared" si="6"/>
        <v>337709</v>
      </c>
    </row>
    <row r="441" spans="1:6" x14ac:dyDescent="0.35">
      <c r="A441" s="9" t="s">
        <v>1144</v>
      </c>
      <c r="B441" s="9" t="s">
        <v>720</v>
      </c>
      <c r="C441" s="9" t="s">
        <v>725</v>
      </c>
      <c r="D441" s="10">
        <v>21</v>
      </c>
      <c r="E441" s="11" t="s">
        <v>693</v>
      </c>
      <c r="F441">
        <f t="shared" si="6"/>
        <v>337776</v>
      </c>
    </row>
    <row r="442" spans="1:6" x14ac:dyDescent="0.35">
      <c r="A442" s="9" t="s">
        <v>1145</v>
      </c>
      <c r="B442" s="9" t="s">
        <v>691</v>
      </c>
      <c r="C442" s="9" t="s">
        <v>728</v>
      </c>
      <c r="D442" s="10">
        <v>39</v>
      </c>
      <c r="E442" s="11" t="s">
        <v>693</v>
      </c>
      <c r="F442">
        <f t="shared" si="6"/>
        <v>338424</v>
      </c>
    </row>
    <row r="443" spans="1:6" x14ac:dyDescent="0.35">
      <c r="A443" s="9" t="s">
        <v>1146</v>
      </c>
      <c r="B443" s="9" t="s">
        <v>691</v>
      </c>
      <c r="C443" s="9" t="s">
        <v>697</v>
      </c>
      <c r="D443" s="10">
        <v>77</v>
      </c>
      <c r="E443" s="11" t="s">
        <v>693</v>
      </c>
      <c r="F443">
        <f t="shared" si="6"/>
        <v>338696</v>
      </c>
    </row>
    <row r="444" spans="1:6" x14ac:dyDescent="0.35">
      <c r="A444" s="9" t="s">
        <v>1147</v>
      </c>
      <c r="B444" s="9" t="s">
        <v>691</v>
      </c>
      <c r="C444" s="9" t="s">
        <v>692</v>
      </c>
      <c r="D444" s="10">
        <v>86</v>
      </c>
      <c r="E444" s="11" t="s">
        <v>693</v>
      </c>
      <c r="F444">
        <f t="shared" si="6"/>
        <v>338727</v>
      </c>
    </row>
    <row r="445" spans="1:6" x14ac:dyDescent="0.35">
      <c r="A445" s="9" t="s">
        <v>1148</v>
      </c>
      <c r="B445" s="9" t="s">
        <v>699</v>
      </c>
      <c r="C445" s="9" t="s">
        <v>700</v>
      </c>
      <c r="D445" s="10">
        <v>103</v>
      </c>
      <c r="E445" s="11" t="s">
        <v>693</v>
      </c>
      <c r="F445">
        <f t="shared" si="6"/>
        <v>338750</v>
      </c>
    </row>
    <row r="446" spans="1:6" x14ac:dyDescent="0.35">
      <c r="A446" s="9" t="s">
        <v>1149</v>
      </c>
      <c r="B446" s="9" t="s">
        <v>691</v>
      </c>
      <c r="C446" s="9" t="s">
        <v>733</v>
      </c>
      <c r="D446" s="10">
        <v>113</v>
      </c>
      <c r="E446" s="11" t="s">
        <v>693</v>
      </c>
      <c r="F446">
        <f t="shared" si="6"/>
        <v>338875</v>
      </c>
    </row>
    <row r="447" spans="1:6" x14ac:dyDescent="0.35">
      <c r="A447" s="9" t="s">
        <v>1150</v>
      </c>
      <c r="B447" s="9" t="s">
        <v>691</v>
      </c>
      <c r="C447" s="9" t="s">
        <v>697</v>
      </c>
      <c r="D447" s="10">
        <v>31</v>
      </c>
      <c r="E447" s="11" t="s">
        <v>693</v>
      </c>
      <c r="F447">
        <f t="shared" si="6"/>
        <v>338877</v>
      </c>
    </row>
    <row r="448" spans="1:6" x14ac:dyDescent="0.35">
      <c r="A448" s="9" t="s">
        <v>1151</v>
      </c>
      <c r="B448" s="9" t="s">
        <v>699</v>
      </c>
      <c r="C448" s="9" t="s">
        <v>702</v>
      </c>
      <c r="D448" s="10">
        <v>178.5</v>
      </c>
      <c r="E448" s="11" t="s">
        <v>693</v>
      </c>
      <c r="F448">
        <f t="shared" si="6"/>
        <v>338885</v>
      </c>
    </row>
    <row r="449" spans="1:6" x14ac:dyDescent="0.35">
      <c r="A449" s="9" t="s">
        <v>1152</v>
      </c>
      <c r="B449" s="9" t="s">
        <v>691</v>
      </c>
      <c r="C449" s="9" t="s">
        <v>728</v>
      </c>
      <c r="D449" s="10">
        <v>93</v>
      </c>
      <c r="E449" s="11" t="s">
        <v>693</v>
      </c>
      <c r="F449">
        <f t="shared" si="6"/>
        <v>338994</v>
      </c>
    </row>
    <row r="450" spans="1:6" x14ac:dyDescent="0.35">
      <c r="A450" s="9" t="s">
        <v>1153</v>
      </c>
      <c r="B450" s="9" t="s">
        <v>691</v>
      </c>
      <c r="C450" s="9" t="s">
        <v>733</v>
      </c>
      <c r="D450" s="10">
        <v>136.5</v>
      </c>
      <c r="E450" s="11" t="s">
        <v>693</v>
      </c>
      <c r="F450">
        <f t="shared" si="6"/>
        <v>338999</v>
      </c>
    </row>
    <row r="451" spans="1:6" x14ac:dyDescent="0.35">
      <c r="A451" s="9" t="s">
        <v>1154</v>
      </c>
      <c r="B451" s="9" t="s">
        <v>720</v>
      </c>
      <c r="C451" s="9" t="s">
        <v>721</v>
      </c>
      <c r="D451" s="10">
        <v>58</v>
      </c>
      <c r="E451" s="11" t="s">
        <v>693</v>
      </c>
      <c r="F451">
        <f t="shared" ref="F451:F514" si="7">VALUE(LEFT(A451,FIND(" ",A451)-1))</f>
        <v>339681</v>
      </c>
    </row>
    <row r="452" spans="1:6" x14ac:dyDescent="0.35">
      <c r="A452" s="9" t="s">
        <v>1155</v>
      </c>
      <c r="B452" s="9" t="s">
        <v>720</v>
      </c>
      <c r="C452" s="9" t="s">
        <v>721</v>
      </c>
      <c r="D452" s="10">
        <v>36</v>
      </c>
      <c r="E452" s="11" t="s">
        <v>693</v>
      </c>
      <c r="F452">
        <f t="shared" si="7"/>
        <v>340180</v>
      </c>
    </row>
    <row r="453" spans="1:6" x14ac:dyDescent="0.35">
      <c r="A453" s="9" t="s">
        <v>1156</v>
      </c>
      <c r="B453" s="9" t="s">
        <v>720</v>
      </c>
      <c r="C453" s="9" t="s">
        <v>721</v>
      </c>
      <c r="D453" s="10">
        <v>6</v>
      </c>
      <c r="E453" s="11" t="s">
        <v>693</v>
      </c>
      <c r="F453">
        <f t="shared" si="7"/>
        <v>340789</v>
      </c>
    </row>
    <row r="454" spans="1:6" x14ac:dyDescent="0.35">
      <c r="A454" s="9" t="s">
        <v>1157</v>
      </c>
      <c r="B454" s="9" t="s">
        <v>691</v>
      </c>
      <c r="C454" s="9" t="s">
        <v>692</v>
      </c>
      <c r="D454" s="10">
        <v>36</v>
      </c>
      <c r="E454" s="11" t="s">
        <v>693</v>
      </c>
      <c r="F454">
        <f t="shared" si="7"/>
        <v>341453</v>
      </c>
    </row>
    <row r="455" spans="1:6" x14ac:dyDescent="0.35">
      <c r="A455" s="9" t="s">
        <v>1158</v>
      </c>
      <c r="B455" s="9" t="s">
        <v>691</v>
      </c>
      <c r="C455" s="9" t="s">
        <v>692</v>
      </c>
      <c r="D455" s="10">
        <v>91</v>
      </c>
      <c r="E455" s="11" t="s">
        <v>693</v>
      </c>
      <c r="F455">
        <f t="shared" si="7"/>
        <v>341497</v>
      </c>
    </row>
    <row r="456" spans="1:6" x14ac:dyDescent="0.35">
      <c r="A456" s="9" t="s">
        <v>1159</v>
      </c>
      <c r="B456" s="9" t="s">
        <v>691</v>
      </c>
      <c r="C456" s="9" t="s">
        <v>692</v>
      </c>
      <c r="D456" s="10">
        <v>134</v>
      </c>
      <c r="E456" s="11" t="s">
        <v>693</v>
      </c>
      <c r="F456">
        <f t="shared" si="7"/>
        <v>341505</v>
      </c>
    </row>
    <row r="457" spans="1:6" x14ac:dyDescent="0.35">
      <c r="A457" s="9" t="s">
        <v>1160</v>
      </c>
      <c r="B457" s="9" t="s">
        <v>699</v>
      </c>
      <c r="C457" s="9" t="s">
        <v>700</v>
      </c>
      <c r="D457" s="10">
        <v>94</v>
      </c>
      <c r="E457" s="11" t="s">
        <v>693</v>
      </c>
      <c r="F457">
        <f t="shared" si="7"/>
        <v>341516</v>
      </c>
    </row>
    <row r="458" spans="1:6" x14ac:dyDescent="0.35">
      <c r="A458" s="9" t="s">
        <v>1161</v>
      </c>
      <c r="B458" s="9" t="s">
        <v>720</v>
      </c>
      <c r="C458" s="9" t="s">
        <v>721</v>
      </c>
      <c r="D458" s="10">
        <v>59.5</v>
      </c>
      <c r="E458" s="11" t="s">
        <v>693</v>
      </c>
      <c r="F458">
        <f t="shared" si="7"/>
        <v>341913</v>
      </c>
    </row>
    <row r="459" spans="1:6" x14ac:dyDescent="0.35">
      <c r="A459" s="9" t="s">
        <v>1162</v>
      </c>
      <c r="B459" s="9" t="s">
        <v>691</v>
      </c>
      <c r="C459" s="9" t="s">
        <v>697</v>
      </c>
      <c r="D459" s="10">
        <v>66</v>
      </c>
      <c r="E459" s="11" t="s">
        <v>693</v>
      </c>
      <c r="F459">
        <f t="shared" si="7"/>
        <v>341914</v>
      </c>
    </row>
    <row r="460" spans="1:6" x14ac:dyDescent="0.35">
      <c r="A460" s="9" t="s">
        <v>1163</v>
      </c>
      <c r="B460" s="9" t="s">
        <v>699</v>
      </c>
      <c r="C460" s="9" t="s">
        <v>700</v>
      </c>
      <c r="D460" s="10">
        <v>60</v>
      </c>
      <c r="E460" s="11" t="s">
        <v>693</v>
      </c>
      <c r="F460">
        <f t="shared" si="7"/>
        <v>342091</v>
      </c>
    </row>
    <row r="461" spans="1:6" x14ac:dyDescent="0.35">
      <c r="A461" s="9" t="s">
        <v>1164</v>
      </c>
      <c r="B461" s="9" t="s">
        <v>699</v>
      </c>
      <c r="C461" s="9" t="s">
        <v>702</v>
      </c>
      <c r="D461" s="10">
        <v>150.5</v>
      </c>
      <c r="E461" s="11" t="s">
        <v>693</v>
      </c>
      <c r="F461">
        <f t="shared" si="7"/>
        <v>342102</v>
      </c>
    </row>
    <row r="462" spans="1:6" x14ac:dyDescent="0.35">
      <c r="A462" s="9" t="s">
        <v>1165</v>
      </c>
      <c r="B462" s="9" t="s">
        <v>699</v>
      </c>
      <c r="C462" s="9" t="s">
        <v>700</v>
      </c>
      <c r="D462" s="10">
        <v>122.5</v>
      </c>
      <c r="E462" s="11" t="s">
        <v>693</v>
      </c>
      <c r="F462">
        <f t="shared" si="7"/>
        <v>342786</v>
      </c>
    </row>
    <row r="463" spans="1:6" x14ac:dyDescent="0.35">
      <c r="A463" s="9" t="s">
        <v>1166</v>
      </c>
      <c r="B463" s="9" t="s">
        <v>691</v>
      </c>
      <c r="C463" s="9" t="s">
        <v>728</v>
      </c>
      <c r="D463" s="10">
        <v>86</v>
      </c>
      <c r="E463" s="11" t="s">
        <v>693</v>
      </c>
      <c r="F463">
        <f t="shared" si="7"/>
        <v>342794</v>
      </c>
    </row>
    <row r="464" spans="1:6" x14ac:dyDescent="0.35">
      <c r="A464" s="9" t="s">
        <v>1167</v>
      </c>
      <c r="B464" s="9" t="s">
        <v>699</v>
      </c>
      <c r="C464" s="9" t="s">
        <v>709</v>
      </c>
      <c r="D464" s="10">
        <v>13</v>
      </c>
      <c r="E464" s="11" t="s">
        <v>693</v>
      </c>
      <c r="F464">
        <f t="shared" si="7"/>
        <v>343267</v>
      </c>
    </row>
    <row r="465" spans="1:6" x14ac:dyDescent="0.35">
      <c r="A465" s="9" t="s">
        <v>1168</v>
      </c>
      <c r="B465" s="9" t="s">
        <v>720</v>
      </c>
      <c r="C465" s="9" t="s">
        <v>725</v>
      </c>
      <c r="D465" s="10">
        <v>67</v>
      </c>
      <c r="E465" s="11" t="s">
        <v>693</v>
      </c>
      <c r="F465">
        <f t="shared" si="7"/>
        <v>343452</v>
      </c>
    </row>
    <row r="466" spans="1:6" x14ac:dyDescent="0.35">
      <c r="A466" s="9" t="s">
        <v>1169</v>
      </c>
      <c r="B466" s="9" t="s">
        <v>720</v>
      </c>
      <c r="C466" s="9" t="s">
        <v>721</v>
      </c>
      <c r="D466" s="10">
        <v>64.5</v>
      </c>
      <c r="E466" s="11" t="s">
        <v>693</v>
      </c>
      <c r="F466">
        <f t="shared" si="7"/>
        <v>343514</v>
      </c>
    </row>
    <row r="467" spans="1:6" x14ac:dyDescent="0.35">
      <c r="A467" s="9" t="s">
        <v>1170</v>
      </c>
      <c r="B467" s="9" t="s">
        <v>720</v>
      </c>
      <c r="C467" s="9" t="s">
        <v>721</v>
      </c>
      <c r="D467" s="10">
        <v>101</v>
      </c>
      <c r="E467" s="11" t="s">
        <v>693</v>
      </c>
      <c r="F467">
        <f t="shared" si="7"/>
        <v>343520</v>
      </c>
    </row>
    <row r="468" spans="1:6" x14ac:dyDescent="0.35">
      <c r="A468" s="9" t="s">
        <v>1171</v>
      </c>
      <c r="B468" s="9" t="s">
        <v>691</v>
      </c>
      <c r="C468" s="9" t="s">
        <v>733</v>
      </c>
      <c r="D468" s="10">
        <v>81.5</v>
      </c>
      <c r="E468" s="11" t="s">
        <v>693</v>
      </c>
      <c r="F468">
        <f t="shared" si="7"/>
        <v>343574</v>
      </c>
    </row>
    <row r="469" spans="1:6" x14ac:dyDescent="0.35">
      <c r="A469" s="9" t="s">
        <v>1172</v>
      </c>
      <c r="B469" s="9" t="s">
        <v>699</v>
      </c>
      <c r="C469" s="9" t="s">
        <v>709</v>
      </c>
      <c r="D469" s="10">
        <v>59</v>
      </c>
      <c r="E469" s="11" t="s">
        <v>693</v>
      </c>
      <c r="F469">
        <f t="shared" si="7"/>
        <v>344146</v>
      </c>
    </row>
    <row r="470" spans="1:6" x14ac:dyDescent="0.35">
      <c r="A470" s="9" t="s">
        <v>1173</v>
      </c>
      <c r="B470" s="9" t="s">
        <v>699</v>
      </c>
      <c r="C470" s="9" t="s">
        <v>702</v>
      </c>
      <c r="D470" s="10">
        <v>42</v>
      </c>
      <c r="E470" s="11" t="s">
        <v>693</v>
      </c>
      <c r="F470">
        <f t="shared" si="7"/>
        <v>344153</v>
      </c>
    </row>
    <row r="471" spans="1:6" x14ac:dyDescent="0.35">
      <c r="A471" s="9" t="s">
        <v>1174</v>
      </c>
      <c r="B471" s="9" t="s">
        <v>720</v>
      </c>
      <c r="C471" s="9" t="s">
        <v>721</v>
      </c>
      <c r="D471" s="10">
        <v>119</v>
      </c>
      <c r="E471" s="11" t="s">
        <v>693</v>
      </c>
      <c r="F471">
        <f t="shared" si="7"/>
        <v>344184</v>
      </c>
    </row>
    <row r="472" spans="1:6" x14ac:dyDescent="0.35">
      <c r="A472" s="9" t="s">
        <v>1175</v>
      </c>
      <c r="B472" s="9" t="s">
        <v>720</v>
      </c>
      <c r="C472" s="9" t="s">
        <v>725</v>
      </c>
      <c r="D472" s="10">
        <v>102</v>
      </c>
      <c r="E472" s="11" t="s">
        <v>693</v>
      </c>
      <c r="F472">
        <f t="shared" si="7"/>
        <v>344195</v>
      </c>
    </row>
    <row r="473" spans="1:6" x14ac:dyDescent="0.35">
      <c r="A473" s="9" t="s">
        <v>1176</v>
      </c>
      <c r="B473" s="9" t="s">
        <v>691</v>
      </c>
      <c r="C473" s="9" t="s">
        <v>728</v>
      </c>
      <c r="D473" s="10">
        <v>57</v>
      </c>
      <c r="E473" s="11" t="s">
        <v>693</v>
      </c>
      <c r="F473">
        <f t="shared" si="7"/>
        <v>344894</v>
      </c>
    </row>
    <row r="474" spans="1:6" x14ac:dyDescent="0.35">
      <c r="A474" s="9" t="s">
        <v>1177</v>
      </c>
      <c r="B474" s="9" t="s">
        <v>699</v>
      </c>
      <c r="C474" s="9" t="s">
        <v>700</v>
      </c>
      <c r="D474" s="10">
        <v>81</v>
      </c>
      <c r="E474" s="11" t="s">
        <v>693</v>
      </c>
      <c r="F474">
        <f t="shared" si="7"/>
        <v>344908</v>
      </c>
    </row>
    <row r="475" spans="1:6" x14ac:dyDescent="0.35">
      <c r="A475" s="9" t="s">
        <v>1178</v>
      </c>
      <c r="B475" s="9" t="s">
        <v>720</v>
      </c>
      <c r="C475" s="9" t="s">
        <v>725</v>
      </c>
      <c r="D475" s="10">
        <v>85</v>
      </c>
      <c r="E475" s="11" t="s">
        <v>693</v>
      </c>
      <c r="F475">
        <f t="shared" si="7"/>
        <v>344909</v>
      </c>
    </row>
    <row r="476" spans="1:6" x14ac:dyDescent="0.35">
      <c r="A476" s="9" t="s">
        <v>1179</v>
      </c>
      <c r="B476" s="9" t="s">
        <v>720</v>
      </c>
      <c r="C476" s="9" t="s">
        <v>721</v>
      </c>
      <c r="D476" s="10">
        <v>12</v>
      </c>
      <c r="E476" s="11" t="s">
        <v>693</v>
      </c>
      <c r="F476">
        <f t="shared" si="7"/>
        <v>344916</v>
      </c>
    </row>
    <row r="477" spans="1:6" x14ac:dyDescent="0.35">
      <c r="A477" s="9" t="s">
        <v>1180</v>
      </c>
      <c r="B477" s="9" t="s">
        <v>691</v>
      </c>
      <c r="C477" s="9" t="s">
        <v>728</v>
      </c>
      <c r="D477" s="10">
        <v>42</v>
      </c>
      <c r="E477" s="11" t="s">
        <v>693</v>
      </c>
      <c r="F477">
        <f t="shared" si="7"/>
        <v>344917</v>
      </c>
    </row>
    <row r="478" spans="1:6" x14ac:dyDescent="0.35">
      <c r="A478" s="9" t="s">
        <v>1181</v>
      </c>
      <c r="B478" s="9" t="s">
        <v>720</v>
      </c>
      <c r="C478" s="9" t="s">
        <v>725</v>
      </c>
      <c r="D478" s="10">
        <v>51</v>
      </c>
      <c r="E478" s="11" t="s">
        <v>693</v>
      </c>
      <c r="F478">
        <f t="shared" si="7"/>
        <v>344981</v>
      </c>
    </row>
    <row r="479" spans="1:6" x14ac:dyDescent="0.35">
      <c r="A479" s="9" t="s">
        <v>1182</v>
      </c>
      <c r="B479" s="9" t="s">
        <v>691</v>
      </c>
      <c r="C479" s="9" t="s">
        <v>697</v>
      </c>
      <c r="D479" s="10">
        <v>30</v>
      </c>
      <c r="E479" s="11" t="s">
        <v>693</v>
      </c>
      <c r="F479">
        <f t="shared" si="7"/>
        <v>344982</v>
      </c>
    </row>
    <row r="480" spans="1:6" x14ac:dyDescent="0.35">
      <c r="A480" s="9" t="s">
        <v>1183</v>
      </c>
      <c r="B480" s="9" t="s">
        <v>691</v>
      </c>
      <c r="C480" s="9" t="s">
        <v>692</v>
      </c>
      <c r="D480" s="10">
        <v>42</v>
      </c>
      <c r="E480" s="11" t="s">
        <v>693</v>
      </c>
      <c r="F480">
        <f t="shared" si="7"/>
        <v>345565</v>
      </c>
    </row>
    <row r="481" spans="1:6" x14ac:dyDescent="0.35">
      <c r="A481" s="9" t="s">
        <v>1184</v>
      </c>
      <c r="B481" s="9" t="s">
        <v>699</v>
      </c>
      <c r="C481" s="9" t="s">
        <v>709</v>
      </c>
      <c r="D481" s="10">
        <v>43</v>
      </c>
      <c r="E481" s="11" t="s">
        <v>693</v>
      </c>
      <c r="F481">
        <f t="shared" si="7"/>
        <v>345608</v>
      </c>
    </row>
    <row r="482" spans="1:6" x14ac:dyDescent="0.35">
      <c r="A482" s="9" t="s">
        <v>1185</v>
      </c>
      <c r="B482" s="9" t="s">
        <v>691</v>
      </c>
      <c r="C482" s="9" t="s">
        <v>733</v>
      </c>
      <c r="D482" s="10">
        <v>138</v>
      </c>
      <c r="E482" s="11" t="s">
        <v>693</v>
      </c>
      <c r="F482">
        <f t="shared" si="7"/>
        <v>345609</v>
      </c>
    </row>
    <row r="483" spans="1:6" x14ac:dyDescent="0.35">
      <c r="A483" s="9" t="s">
        <v>1186</v>
      </c>
      <c r="B483" s="9" t="s">
        <v>699</v>
      </c>
      <c r="C483" s="9" t="s">
        <v>702</v>
      </c>
      <c r="D483" s="10">
        <v>36</v>
      </c>
      <c r="E483" s="11" t="s">
        <v>693</v>
      </c>
      <c r="F483">
        <f t="shared" si="7"/>
        <v>345611</v>
      </c>
    </row>
    <row r="484" spans="1:6" x14ac:dyDescent="0.35">
      <c r="A484" s="9" t="s">
        <v>1187</v>
      </c>
      <c r="B484" s="9" t="s">
        <v>691</v>
      </c>
      <c r="C484" s="9" t="s">
        <v>692</v>
      </c>
      <c r="D484" s="10">
        <v>90</v>
      </c>
      <c r="E484" s="11" t="s">
        <v>693</v>
      </c>
      <c r="F484">
        <f t="shared" si="7"/>
        <v>345693</v>
      </c>
    </row>
    <row r="485" spans="1:6" x14ac:dyDescent="0.35">
      <c r="A485" s="9" t="s">
        <v>1188</v>
      </c>
      <c r="B485" s="9" t="s">
        <v>720</v>
      </c>
      <c r="C485" s="9" t="s">
        <v>721</v>
      </c>
      <c r="D485" s="10">
        <v>33</v>
      </c>
      <c r="E485" s="11" t="s">
        <v>693</v>
      </c>
      <c r="F485">
        <f t="shared" si="7"/>
        <v>345706</v>
      </c>
    </row>
    <row r="486" spans="1:6" x14ac:dyDescent="0.35">
      <c r="A486" s="9" t="s">
        <v>1189</v>
      </c>
      <c r="B486" s="9" t="s">
        <v>691</v>
      </c>
      <c r="C486" s="9" t="s">
        <v>728</v>
      </c>
      <c r="D486" s="10">
        <v>40</v>
      </c>
      <c r="E486" s="11" t="s">
        <v>693</v>
      </c>
      <c r="F486">
        <f t="shared" si="7"/>
        <v>346336</v>
      </c>
    </row>
    <row r="487" spans="1:6" x14ac:dyDescent="0.35">
      <c r="A487" s="9" t="s">
        <v>1190</v>
      </c>
      <c r="B487" s="9" t="s">
        <v>691</v>
      </c>
      <c r="C487" s="9" t="s">
        <v>728</v>
      </c>
      <c r="D487" s="10">
        <v>59</v>
      </c>
      <c r="E487" s="11" t="s">
        <v>693</v>
      </c>
      <c r="F487">
        <f t="shared" si="7"/>
        <v>346362</v>
      </c>
    </row>
    <row r="488" spans="1:6" x14ac:dyDescent="0.35">
      <c r="A488" s="9" t="s">
        <v>1191</v>
      </c>
      <c r="B488" s="9" t="s">
        <v>699</v>
      </c>
      <c r="C488" s="9" t="s">
        <v>700</v>
      </c>
      <c r="D488" s="10">
        <v>52.5</v>
      </c>
      <c r="E488" s="11" t="s">
        <v>693</v>
      </c>
      <c r="F488">
        <f t="shared" si="7"/>
        <v>346363</v>
      </c>
    </row>
    <row r="489" spans="1:6" x14ac:dyDescent="0.35">
      <c r="A489" s="9" t="s">
        <v>1192</v>
      </c>
      <c r="B489" s="9" t="s">
        <v>691</v>
      </c>
      <c r="C489" s="9" t="s">
        <v>740</v>
      </c>
      <c r="D489" s="10">
        <v>115</v>
      </c>
      <c r="E489" s="11" t="s">
        <v>693</v>
      </c>
      <c r="F489">
        <f t="shared" si="7"/>
        <v>346369</v>
      </c>
    </row>
    <row r="490" spans="1:6" x14ac:dyDescent="0.35">
      <c r="A490" s="9" t="s">
        <v>1193</v>
      </c>
      <c r="B490" s="9" t="s">
        <v>720</v>
      </c>
      <c r="C490" s="9" t="s">
        <v>721</v>
      </c>
      <c r="D490" s="10">
        <v>94.5</v>
      </c>
      <c r="E490" s="11" t="s">
        <v>693</v>
      </c>
      <c r="F490">
        <f t="shared" si="7"/>
        <v>346397</v>
      </c>
    </row>
    <row r="491" spans="1:6" x14ac:dyDescent="0.35">
      <c r="A491" s="9" t="s">
        <v>1194</v>
      </c>
      <c r="B491" s="9" t="s">
        <v>691</v>
      </c>
      <c r="C491" s="9" t="s">
        <v>692</v>
      </c>
      <c r="D491" s="10">
        <v>54</v>
      </c>
      <c r="E491" s="11" t="s">
        <v>693</v>
      </c>
      <c r="F491">
        <f t="shared" si="7"/>
        <v>346399</v>
      </c>
    </row>
    <row r="492" spans="1:6" x14ac:dyDescent="0.35">
      <c r="A492" s="9" t="s">
        <v>1195</v>
      </c>
      <c r="B492" s="9" t="s">
        <v>691</v>
      </c>
      <c r="C492" s="9" t="s">
        <v>733</v>
      </c>
      <c r="D492" s="10">
        <v>214</v>
      </c>
      <c r="E492" s="11" t="s">
        <v>693</v>
      </c>
      <c r="F492">
        <f t="shared" si="7"/>
        <v>346403</v>
      </c>
    </row>
    <row r="493" spans="1:6" x14ac:dyDescent="0.35">
      <c r="A493" s="9" t="s">
        <v>1196</v>
      </c>
      <c r="B493" s="9" t="s">
        <v>699</v>
      </c>
      <c r="C493" s="9" t="s">
        <v>700</v>
      </c>
      <c r="D493" s="10">
        <v>32</v>
      </c>
      <c r="E493" s="11" t="s">
        <v>693</v>
      </c>
      <c r="F493">
        <f t="shared" si="7"/>
        <v>347071</v>
      </c>
    </row>
    <row r="494" spans="1:6" x14ac:dyDescent="0.35">
      <c r="A494" s="9" t="s">
        <v>1197</v>
      </c>
      <c r="B494" s="9" t="s">
        <v>699</v>
      </c>
      <c r="C494" s="9" t="s">
        <v>702</v>
      </c>
      <c r="D494" s="10">
        <v>72</v>
      </c>
      <c r="E494" s="11" t="s">
        <v>693</v>
      </c>
      <c r="F494">
        <f t="shared" si="7"/>
        <v>347361</v>
      </c>
    </row>
    <row r="495" spans="1:6" x14ac:dyDescent="0.35">
      <c r="A495" s="9" t="s">
        <v>1198</v>
      </c>
      <c r="B495" s="9" t="s">
        <v>691</v>
      </c>
      <c r="C495" s="9" t="s">
        <v>733</v>
      </c>
      <c r="D495" s="10">
        <v>130</v>
      </c>
      <c r="E495" s="11" t="s">
        <v>693</v>
      </c>
      <c r="F495">
        <f t="shared" si="7"/>
        <v>347366</v>
      </c>
    </row>
    <row r="496" spans="1:6" x14ac:dyDescent="0.35">
      <c r="A496" s="9" t="s">
        <v>1199</v>
      </c>
      <c r="B496" s="9" t="s">
        <v>699</v>
      </c>
      <c r="C496" s="9" t="s">
        <v>702</v>
      </c>
      <c r="D496" s="10">
        <v>90</v>
      </c>
      <c r="E496" s="11" t="s">
        <v>693</v>
      </c>
      <c r="F496">
        <f t="shared" si="7"/>
        <v>347370</v>
      </c>
    </row>
    <row r="497" spans="1:6" x14ac:dyDescent="0.35">
      <c r="A497" s="9" t="s">
        <v>1200</v>
      </c>
      <c r="B497" s="9" t="s">
        <v>720</v>
      </c>
      <c r="C497" s="9" t="s">
        <v>725</v>
      </c>
      <c r="D497" s="10">
        <v>5</v>
      </c>
      <c r="E497" s="11" t="s">
        <v>693</v>
      </c>
      <c r="F497">
        <f t="shared" si="7"/>
        <v>347382</v>
      </c>
    </row>
    <row r="498" spans="1:6" x14ac:dyDescent="0.35">
      <c r="A498" s="9" t="s">
        <v>1201</v>
      </c>
      <c r="B498" s="9" t="s">
        <v>691</v>
      </c>
      <c r="C498" s="9" t="s">
        <v>728</v>
      </c>
      <c r="D498" s="10">
        <v>186.5</v>
      </c>
      <c r="E498" s="11" t="s">
        <v>693</v>
      </c>
      <c r="F498">
        <f t="shared" si="7"/>
        <v>347383</v>
      </c>
    </row>
    <row r="499" spans="1:6" x14ac:dyDescent="0.35">
      <c r="A499" s="9" t="s">
        <v>1202</v>
      </c>
      <c r="B499" s="9" t="s">
        <v>691</v>
      </c>
      <c r="C499" s="9" t="s">
        <v>692</v>
      </c>
      <c r="D499" s="10">
        <v>42</v>
      </c>
      <c r="E499" s="11" t="s">
        <v>693</v>
      </c>
      <c r="F499">
        <f t="shared" si="7"/>
        <v>347461</v>
      </c>
    </row>
    <row r="500" spans="1:6" x14ac:dyDescent="0.35">
      <c r="A500" s="9" t="s">
        <v>1203</v>
      </c>
      <c r="B500" s="9" t="s">
        <v>691</v>
      </c>
      <c r="C500" s="9" t="s">
        <v>733</v>
      </c>
      <c r="D500" s="10">
        <v>102</v>
      </c>
      <c r="E500" s="11" t="s">
        <v>693</v>
      </c>
      <c r="F500">
        <f t="shared" si="7"/>
        <v>347490</v>
      </c>
    </row>
    <row r="501" spans="1:6" x14ac:dyDescent="0.35">
      <c r="A501" s="9" t="s">
        <v>1204</v>
      </c>
      <c r="B501" s="9" t="s">
        <v>691</v>
      </c>
      <c r="C501" s="9" t="s">
        <v>695</v>
      </c>
      <c r="D501" s="10">
        <v>87.5</v>
      </c>
      <c r="E501" s="11" t="s">
        <v>693</v>
      </c>
      <c r="F501">
        <f t="shared" si="7"/>
        <v>347513</v>
      </c>
    </row>
    <row r="502" spans="1:6" x14ac:dyDescent="0.35">
      <c r="A502" s="9" t="s">
        <v>1205</v>
      </c>
      <c r="B502" s="9" t="s">
        <v>699</v>
      </c>
      <c r="C502" s="9" t="s">
        <v>709</v>
      </c>
      <c r="D502" s="10">
        <v>40</v>
      </c>
      <c r="E502" s="11" t="s">
        <v>693</v>
      </c>
      <c r="F502">
        <f t="shared" si="7"/>
        <v>347526</v>
      </c>
    </row>
    <row r="503" spans="1:6" x14ac:dyDescent="0.35">
      <c r="A503" s="9" t="s">
        <v>1206</v>
      </c>
      <c r="B503" s="9" t="s">
        <v>691</v>
      </c>
      <c r="C503" s="9" t="s">
        <v>733</v>
      </c>
      <c r="D503" s="10">
        <v>93</v>
      </c>
      <c r="E503" s="11" t="s">
        <v>693</v>
      </c>
      <c r="F503">
        <f t="shared" si="7"/>
        <v>348211</v>
      </c>
    </row>
    <row r="504" spans="1:6" x14ac:dyDescent="0.35">
      <c r="A504" s="9" t="s">
        <v>1207</v>
      </c>
      <c r="B504" s="9" t="s">
        <v>699</v>
      </c>
      <c r="C504" s="9" t="s">
        <v>700</v>
      </c>
      <c r="D504" s="10">
        <v>77.5</v>
      </c>
      <c r="E504" s="11" t="s">
        <v>693</v>
      </c>
      <c r="F504">
        <f t="shared" si="7"/>
        <v>348890</v>
      </c>
    </row>
    <row r="505" spans="1:6" x14ac:dyDescent="0.35">
      <c r="A505" s="9" t="s">
        <v>1208</v>
      </c>
      <c r="B505" s="9" t="s">
        <v>691</v>
      </c>
      <c r="C505" s="9" t="s">
        <v>692</v>
      </c>
      <c r="D505" s="10">
        <v>30</v>
      </c>
      <c r="E505" s="11" t="s">
        <v>693</v>
      </c>
      <c r="F505">
        <f t="shared" si="7"/>
        <v>349731</v>
      </c>
    </row>
    <row r="506" spans="1:6" x14ac:dyDescent="0.35">
      <c r="A506" s="9" t="s">
        <v>1209</v>
      </c>
      <c r="B506" s="9" t="s">
        <v>691</v>
      </c>
      <c r="C506" s="9" t="s">
        <v>733</v>
      </c>
      <c r="D506" s="10">
        <v>54</v>
      </c>
      <c r="E506" s="11" t="s">
        <v>693</v>
      </c>
      <c r="F506">
        <f t="shared" si="7"/>
        <v>350292</v>
      </c>
    </row>
    <row r="507" spans="1:6" x14ac:dyDescent="0.35">
      <c r="A507" s="9" t="s">
        <v>1210</v>
      </c>
      <c r="B507" s="9" t="s">
        <v>691</v>
      </c>
      <c r="C507" s="9" t="s">
        <v>728</v>
      </c>
      <c r="D507" s="10">
        <v>9</v>
      </c>
      <c r="E507" s="11" t="s">
        <v>693</v>
      </c>
      <c r="F507">
        <f t="shared" si="7"/>
        <v>350836</v>
      </c>
    </row>
    <row r="508" spans="1:6" x14ac:dyDescent="0.35">
      <c r="A508" s="9" t="s">
        <v>1211</v>
      </c>
      <c r="B508" s="9" t="s">
        <v>699</v>
      </c>
      <c r="C508" s="9" t="s">
        <v>700</v>
      </c>
      <c r="D508" s="10">
        <v>66</v>
      </c>
      <c r="E508" s="11" t="s">
        <v>693</v>
      </c>
      <c r="F508">
        <f t="shared" si="7"/>
        <v>351541</v>
      </c>
    </row>
    <row r="509" spans="1:6" x14ac:dyDescent="0.35">
      <c r="A509" s="9" t="s">
        <v>1212</v>
      </c>
      <c r="B509" s="9" t="s">
        <v>720</v>
      </c>
      <c r="C509" s="9" t="s">
        <v>725</v>
      </c>
      <c r="D509" s="10">
        <v>80</v>
      </c>
      <c r="E509" s="11" t="s">
        <v>693</v>
      </c>
      <c r="F509">
        <f t="shared" si="7"/>
        <v>352085</v>
      </c>
    </row>
    <row r="510" spans="1:6" x14ac:dyDescent="0.35">
      <c r="A510" s="9" t="s">
        <v>1213</v>
      </c>
      <c r="B510" s="9" t="s">
        <v>691</v>
      </c>
      <c r="C510" s="9" t="s">
        <v>733</v>
      </c>
      <c r="D510" s="10">
        <v>27</v>
      </c>
      <c r="E510" s="11" t="s">
        <v>693</v>
      </c>
      <c r="F510">
        <f t="shared" si="7"/>
        <v>352692</v>
      </c>
    </row>
    <row r="511" spans="1:6" x14ac:dyDescent="0.35">
      <c r="A511" s="9" t="s">
        <v>1214</v>
      </c>
      <c r="B511" s="9" t="s">
        <v>699</v>
      </c>
      <c r="C511" s="9" t="s">
        <v>700</v>
      </c>
      <c r="D511" s="10">
        <v>127</v>
      </c>
      <c r="E511" s="11" t="s">
        <v>693</v>
      </c>
      <c r="F511">
        <f t="shared" si="7"/>
        <v>352873</v>
      </c>
    </row>
    <row r="512" spans="1:6" x14ac:dyDescent="0.35">
      <c r="A512" s="9" t="s">
        <v>1215</v>
      </c>
      <c r="B512" s="9" t="s">
        <v>720</v>
      </c>
      <c r="C512" s="9" t="s">
        <v>721</v>
      </c>
      <c r="D512" s="10">
        <v>352.5</v>
      </c>
      <c r="E512" s="11" t="s">
        <v>693</v>
      </c>
      <c r="F512">
        <f t="shared" si="7"/>
        <v>353015</v>
      </c>
    </row>
    <row r="513" spans="1:6" x14ac:dyDescent="0.35">
      <c r="A513" s="9" t="s">
        <v>1216</v>
      </c>
      <c r="B513" s="9" t="s">
        <v>699</v>
      </c>
      <c r="C513" s="9" t="s">
        <v>702</v>
      </c>
      <c r="D513" s="10">
        <v>147.5</v>
      </c>
      <c r="E513" s="11" t="s">
        <v>693</v>
      </c>
      <c r="F513">
        <f t="shared" si="7"/>
        <v>353751</v>
      </c>
    </row>
    <row r="514" spans="1:6" x14ac:dyDescent="0.35">
      <c r="A514" s="9" t="s">
        <v>1217</v>
      </c>
      <c r="B514" s="9" t="s">
        <v>691</v>
      </c>
      <c r="C514" s="9" t="s">
        <v>733</v>
      </c>
      <c r="D514" s="10">
        <v>12</v>
      </c>
      <c r="E514" s="11" t="s">
        <v>693</v>
      </c>
      <c r="F514">
        <f t="shared" si="7"/>
        <v>354113</v>
      </c>
    </row>
    <row r="515" spans="1:6" x14ac:dyDescent="0.35">
      <c r="A515" s="9" t="s">
        <v>1218</v>
      </c>
      <c r="B515" s="9" t="s">
        <v>699</v>
      </c>
      <c r="C515" s="9" t="s">
        <v>709</v>
      </c>
      <c r="D515" s="10">
        <v>48.5</v>
      </c>
      <c r="E515" s="11" t="s">
        <v>693</v>
      </c>
      <c r="F515">
        <f t="shared" ref="F515:F578" si="8">VALUE(LEFT(A515,FIND(" ",A515)-1))</f>
        <v>354271</v>
      </c>
    </row>
    <row r="516" spans="1:6" x14ac:dyDescent="0.35">
      <c r="A516" s="9" t="s">
        <v>1219</v>
      </c>
      <c r="B516" s="9" t="s">
        <v>691</v>
      </c>
      <c r="C516" s="9" t="s">
        <v>692</v>
      </c>
      <c r="D516" s="10">
        <v>143.5</v>
      </c>
      <c r="E516" s="11" t="s">
        <v>693</v>
      </c>
      <c r="F516">
        <f t="shared" si="8"/>
        <v>354292</v>
      </c>
    </row>
    <row r="517" spans="1:6" x14ac:dyDescent="0.35">
      <c r="A517" s="9" t="s">
        <v>1220</v>
      </c>
      <c r="B517" s="9" t="s">
        <v>691</v>
      </c>
      <c r="C517" s="9" t="s">
        <v>692</v>
      </c>
      <c r="D517" s="10">
        <v>8</v>
      </c>
      <c r="E517" s="11" t="s">
        <v>693</v>
      </c>
      <c r="F517">
        <f t="shared" si="8"/>
        <v>354309</v>
      </c>
    </row>
    <row r="518" spans="1:6" x14ac:dyDescent="0.35">
      <c r="A518" s="9" t="s">
        <v>1221</v>
      </c>
      <c r="B518" s="9" t="s">
        <v>720</v>
      </c>
      <c r="C518" s="9" t="s">
        <v>725</v>
      </c>
      <c r="D518" s="10">
        <v>6</v>
      </c>
      <c r="E518" s="11" t="s">
        <v>693</v>
      </c>
      <c r="F518">
        <f t="shared" si="8"/>
        <v>354344</v>
      </c>
    </row>
    <row r="519" spans="1:6" x14ac:dyDescent="0.35">
      <c r="A519" s="9" t="s">
        <v>1222</v>
      </c>
      <c r="B519" s="9" t="s">
        <v>699</v>
      </c>
      <c r="C519" s="9" t="s">
        <v>700</v>
      </c>
      <c r="D519" s="10">
        <v>57</v>
      </c>
      <c r="E519" s="11" t="s">
        <v>693</v>
      </c>
      <c r="F519">
        <f t="shared" si="8"/>
        <v>354443</v>
      </c>
    </row>
    <row r="520" spans="1:6" x14ac:dyDescent="0.35">
      <c r="A520" s="9" t="s">
        <v>1223</v>
      </c>
      <c r="B520" s="9" t="s">
        <v>699</v>
      </c>
      <c r="C520" s="9" t="s">
        <v>709</v>
      </c>
      <c r="D520" s="10">
        <v>42</v>
      </c>
      <c r="E520" s="11" t="s">
        <v>693</v>
      </c>
      <c r="F520">
        <f t="shared" si="8"/>
        <v>354967</v>
      </c>
    </row>
    <row r="521" spans="1:6" x14ac:dyDescent="0.35">
      <c r="A521" s="9" t="s">
        <v>1224</v>
      </c>
      <c r="B521" s="9" t="s">
        <v>691</v>
      </c>
      <c r="C521" s="9" t="s">
        <v>740</v>
      </c>
      <c r="D521" s="10">
        <v>9</v>
      </c>
      <c r="E521" s="11" t="s">
        <v>693</v>
      </c>
      <c r="F521">
        <f t="shared" si="8"/>
        <v>355347</v>
      </c>
    </row>
    <row r="522" spans="1:6" x14ac:dyDescent="0.35">
      <c r="A522" s="9" t="s">
        <v>1225</v>
      </c>
      <c r="B522" s="9" t="s">
        <v>691</v>
      </c>
      <c r="C522" s="9" t="s">
        <v>728</v>
      </c>
      <c r="D522" s="10">
        <v>33</v>
      </c>
      <c r="E522" s="11" t="s">
        <v>693</v>
      </c>
      <c r="F522">
        <f t="shared" si="8"/>
        <v>355348</v>
      </c>
    </row>
    <row r="523" spans="1:6" x14ac:dyDescent="0.35">
      <c r="A523" s="9" t="s">
        <v>1226</v>
      </c>
      <c r="B523" s="9" t="s">
        <v>691</v>
      </c>
      <c r="C523" s="9" t="s">
        <v>733</v>
      </c>
      <c r="D523" s="10">
        <v>81</v>
      </c>
      <c r="E523" s="11" t="s">
        <v>693</v>
      </c>
      <c r="F523">
        <f t="shared" si="8"/>
        <v>355384</v>
      </c>
    </row>
    <row r="524" spans="1:6" x14ac:dyDescent="0.35">
      <c r="A524" s="9" t="s">
        <v>1227</v>
      </c>
      <c r="B524" s="9" t="s">
        <v>720</v>
      </c>
      <c r="C524" s="9" t="s">
        <v>721</v>
      </c>
      <c r="D524" s="10">
        <v>21</v>
      </c>
      <c r="E524" s="11" t="s">
        <v>693</v>
      </c>
      <c r="F524">
        <f t="shared" si="8"/>
        <v>355582</v>
      </c>
    </row>
    <row r="525" spans="1:6" x14ac:dyDescent="0.35">
      <c r="A525" s="9" t="s">
        <v>1228</v>
      </c>
      <c r="B525" s="9" t="s">
        <v>699</v>
      </c>
      <c r="C525" s="9" t="s">
        <v>709</v>
      </c>
      <c r="D525" s="10">
        <v>33</v>
      </c>
      <c r="E525" s="11" t="s">
        <v>693</v>
      </c>
      <c r="F525">
        <f t="shared" si="8"/>
        <v>356386</v>
      </c>
    </row>
    <row r="526" spans="1:6" x14ac:dyDescent="0.35">
      <c r="A526" s="9" t="s">
        <v>1229</v>
      </c>
      <c r="B526" s="9" t="s">
        <v>691</v>
      </c>
      <c r="C526" s="9" t="s">
        <v>692</v>
      </c>
      <c r="D526" s="10">
        <v>84</v>
      </c>
      <c r="E526" s="11" t="s">
        <v>693</v>
      </c>
      <c r="F526">
        <f t="shared" si="8"/>
        <v>356680</v>
      </c>
    </row>
    <row r="527" spans="1:6" x14ac:dyDescent="0.35">
      <c r="A527" s="9" t="s">
        <v>1230</v>
      </c>
      <c r="B527" s="9" t="s">
        <v>720</v>
      </c>
      <c r="C527" s="9" t="s">
        <v>725</v>
      </c>
      <c r="D527" s="10">
        <v>99</v>
      </c>
      <c r="E527" s="11" t="s">
        <v>693</v>
      </c>
      <c r="F527">
        <f t="shared" si="8"/>
        <v>356681</v>
      </c>
    </row>
    <row r="528" spans="1:6" x14ac:dyDescent="0.35">
      <c r="A528" s="9" t="s">
        <v>1231</v>
      </c>
      <c r="B528" s="9" t="s">
        <v>699</v>
      </c>
      <c r="C528" s="9" t="s">
        <v>702</v>
      </c>
      <c r="D528" s="10">
        <v>75</v>
      </c>
      <c r="E528" s="11" t="s">
        <v>693</v>
      </c>
      <c r="F528">
        <f t="shared" si="8"/>
        <v>358164</v>
      </c>
    </row>
    <row r="529" spans="1:6" x14ac:dyDescent="0.35">
      <c r="A529" s="9" t="s">
        <v>1232</v>
      </c>
      <c r="B529" s="9" t="s">
        <v>691</v>
      </c>
      <c r="C529" s="9" t="s">
        <v>697</v>
      </c>
      <c r="D529" s="10">
        <v>115</v>
      </c>
      <c r="E529" s="11" t="s">
        <v>693</v>
      </c>
      <c r="F529">
        <f t="shared" si="8"/>
        <v>359225</v>
      </c>
    </row>
    <row r="530" spans="1:6" x14ac:dyDescent="0.35">
      <c r="A530" s="9" t="s">
        <v>1233</v>
      </c>
      <c r="B530" s="9" t="s">
        <v>691</v>
      </c>
      <c r="C530" s="9" t="s">
        <v>733</v>
      </c>
      <c r="D530" s="10">
        <v>9</v>
      </c>
      <c r="E530" s="11" t="s">
        <v>693</v>
      </c>
      <c r="F530">
        <f t="shared" si="8"/>
        <v>359445</v>
      </c>
    </row>
    <row r="531" spans="1:6" x14ac:dyDescent="0.35">
      <c r="A531" s="9" t="s">
        <v>1234</v>
      </c>
      <c r="B531" s="9" t="s">
        <v>691</v>
      </c>
      <c r="C531" s="9" t="s">
        <v>728</v>
      </c>
      <c r="D531" s="10">
        <v>59</v>
      </c>
      <c r="E531" s="11" t="s">
        <v>693</v>
      </c>
      <c r="F531">
        <f t="shared" si="8"/>
        <v>360731</v>
      </c>
    </row>
    <row r="532" spans="1:6" x14ac:dyDescent="0.35">
      <c r="A532" s="9" t="s">
        <v>1235</v>
      </c>
      <c r="B532" s="9" t="s">
        <v>691</v>
      </c>
      <c r="C532" s="9" t="s">
        <v>697</v>
      </c>
      <c r="D532" s="10">
        <v>124</v>
      </c>
      <c r="E532" s="11" t="s">
        <v>693</v>
      </c>
      <c r="F532">
        <f t="shared" si="8"/>
        <v>361682</v>
      </c>
    </row>
    <row r="533" spans="1:6" x14ac:dyDescent="0.35">
      <c r="A533" s="9" t="s">
        <v>1236</v>
      </c>
      <c r="B533" s="9" t="s">
        <v>699</v>
      </c>
      <c r="C533" s="9" t="s">
        <v>709</v>
      </c>
      <c r="D533" s="10">
        <v>172.5</v>
      </c>
      <c r="E533" s="11" t="s">
        <v>693</v>
      </c>
      <c r="F533">
        <f t="shared" si="8"/>
        <v>362531</v>
      </c>
    </row>
    <row r="534" spans="1:6" x14ac:dyDescent="0.35">
      <c r="A534" s="9" t="s">
        <v>1237</v>
      </c>
      <c r="B534" s="9" t="s">
        <v>720</v>
      </c>
      <c r="C534" s="9" t="s">
        <v>721</v>
      </c>
      <c r="D534" s="10">
        <v>18</v>
      </c>
      <c r="E534" s="11" t="s">
        <v>693</v>
      </c>
      <c r="F534">
        <f t="shared" si="8"/>
        <v>362532</v>
      </c>
    </row>
    <row r="535" spans="1:6" x14ac:dyDescent="0.35">
      <c r="A535" s="9" t="s">
        <v>1238</v>
      </c>
      <c r="B535" s="9" t="s">
        <v>720</v>
      </c>
      <c r="C535" s="9" t="s">
        <v>725</v>
      </c>
      <c r="D535" s="10">
        <v>40</v>
      </c>
      <c r="E535" s="11" t="s">
        <v>693</v>
      </c>
      <c r="F535">
        <f t="shared" si="8"/>
        <v>363282</v>
      </c>
    </row>
    <row r="536" spans="1:6" x14ac:dyDescent="0.35">
      <c r="A536" s="9" t="s">
        <v>1239</v>
      </c>
      <c r="B536" s="9" t="s">
        <v>720</v>
      </c>
      <c r="C536" s="9" t="s">
        <v>725</v>
      </c>
      <c r="D536" s="10">
        <v>120</v>
      </c>
      <c r="E536" s="11" t="s">
        <v>693</v>
      </c>
      <c r="F536">
        <f t="shared" si="8"/>
        <v>363424</v>
      </c>
    </row>
    <row r="537" spans="1:6" x14ac:dyDescent="0.35">
      <c r="A537" s="9" t="s">
        <v>1240</v>
      </c>
      <c r="B537" s="9" t="s">
        <v>691</v>
      </c>
      <c r="C537" s="9" t="s">
        <v>728</v>
      </c>
      <c r="D537" s="10">
        <v>45</v>
      </c>
      <c r="E537" s="11" t="s">
        <v>693</v>
      </c>
      <c r="F537">
        <f t="shared" si="8"/>
        <v>367894</v>
      </c>
    </row>
    <row r="538" spans="1:6" x14ac:dyDescent="0.35">
      <c r="A538" s="9" t="s">
        <v>1241</v>
      </c>
      <c r="B538" s="9" t="s">
        <v>699</v>
      </c>
      <c r="C538" s="9" t="s">
        <v>700</v>
      </c>
      <c r="D538" s="10">
        <v>41</v>
      </c>
      <c r="E538" s="11" t="s">
        <v>693</v>
      </c>
      <c r="F538">
        <f t="shared" si="8"/>
        <v>368608</v>
      </c>
    </row>
    <row r="539" spans="1:6" x14ac:dyDescent="0.35">
      <c r="A539" s="9" t="s">
        <v>1242</v>
      </c>
      <c r="B539" s="9" t="s">
        <v>699</v>
      </c>
      <c r="C539" s="9" t="s">
        <v>709</v>
      </c>
      <c r="D539" s="10">
        <v>44.5</v>
      </c>
      <c r="E539" s="11" t="s">
        <v>693</v>
      </c>
      <c r="F539">
        <f t="shared" si="8"/>
        <v>369441</v>
      </c>
    </row>
    <row r="540" spans="1:6" x14ac:dyDescent="0.35">
      <c r="A540" s="9" t="s">
        <v>1243</v>
      </c>
      <c r="B540" s="9" t="s">
        <v>720</v>
      </c>
      <c r="C540" s="9" t="s">
        <v>725</v>
      </c>
      <c r="D540" s="10">
        <v>126</v>
      </c>
      <c r="E540" s="11" t="s">
        <v>693</v>
      </c>
      <c r="F540">
        <f t="shared" si="8"/>
        <v>369442</v>
      </c>
    </row>
    <row r="541" spans="1:6" x14ac:dyDescent="0.35">
      <c r="A541" s="9" t="s">
        <v>1244</v>
      </c>
      <c r="B541" s="9" t="s">
        <v>720</v>
      </c>
      <c r="C541" s="9" t="s">
        <v>725</v>
      </c>
      <c r="D541" s="10">
        <v>92</v>
      </c>
      <c r="E541" s="11" t="s">
        <v>693</v>
      </c>
      <c r="F541">
        <f t="shared" si="8"/>
        <v>369443</v>
      </c>
    </row>
    <row r="542" spans="1:6" x14ac:dyDescent="0.35">
      <c r="A542" s="9" t="s">
        <v>1245</v>
      </c>
      <c r="B542" s="9" t="s">
        <v>720</v>
      </c>
      <c r="C542" s="9" t="s">
        <v>725</v>
      </c>
      <c r="D542" s="10">
        <v>87</v>
      </c>
      <c r="E542" s="11" t="s">
        <v>693</v>
      </c>
      <c r="F542">
        <f t="shared" si="8"/>
        <v>370143</v>
      </c>
    </row>
    <row r="543" spans="1:6" x14ac:dyDescent="0.35">
      <c r="A543" s="9" t="s">
        <v>1246</v>
      </c>
      <c r="B543" s="9" t="s">
        <v>720</v>
      </c>
      <c r="C543" s="9" t="s">
        <v>725</v>
      </c>
      <c r="D543" s="10">
        <v>18</v>
      </c>
      <c r="E543" s="11" t="s">
        <v>693</v>
      </c>
      <c r="F543">
        <f t="shared" si="8"/>
        <v>371006</v>
      </c>
    </row>
    <row r="544" spans="1:6" x14ac:dyDescent="0.35">
      <c r="A544" s="9" t="s">
        <v>1247</v>
      </c>
      <c r="B544" s="9" t="s">
        <v>699</v>
      </c>
      <c r="C544" s="9" t="s">
        <v>700</v>
      </c>
      <c r="D544" s="10">
        <v>69</v>
      </c>
      <c r="E544" s="11" t="s">
        <v>693</v>
      </c>
      <c r="F544">
        <f t="shared" si="8"/>
        <v>371055</v>
      </c>
    </row>
    <row r="545" spans="1:6" x14ac:dyDescent="0.35">
      <c r="A545" s="9" t="s">
        <v>1248</v>
      </c>
      <c r="B545" s="9" t="s">
        <v>720</v>
      </c>
      <c r="C545" s="9" t="s">
        <v>725</v>
      </c>
      <c r="D545" s="10">
        <v>86.5</v>
      </c>
      <c r="E545" s="11" t="s">
        <v>693</v>
      </c>
      <c r="F545">
        <f t="shared" si="8"/>
        <v>371924</v>
      </c>
    </row>
    <row r="546" spans="1:6" x14ac:dyDescent="0.35">
      <c r="A546" s="9" t="s">
        <v>1249</v>
      </c>
      <c r="B546" s="9" t="s">
        <v>691</v>
      </c>
      <c r="C546" s="9" t="s">
        <v>692</v>
      </c>
      <c r="D546" s="10">
        <v>91</v>
      </c>
      <c r="E546" s="11" t="s">
        <v>693</v>
      </c>
      <c r="F546">
        <f t="shared" si="8"/>
        <v>372701</v>
      </c>
    </row>
    <row r="547" spans="1:6" x14ac:dyDescent="0.35">
      <c r="A547" s="9" t="s">
        <v>1250</v>
      </c>
      <c r="B547" s="9" t="s">
        <v>691</v>
      </c>
      <c r="C547" s="9" t="s">
        <v>692</v>
      </c>
      <c r="D547" s="10">
        <v>90</v>
      </c>
      <c r="E547" s="11" t="s">
        <v>693</v>
      </c>
      <c r="F547">
        <f t="shared" si="8"/>
        <v>372702</v>
      </c>
    </row>
    <row r="548" spans="1:6" x14ac:dyDescent="0.35">
      <c r="A548" s="9" t="s">
        <v>1251</v>
      </c>
      <c r="B548" s="9" t="s">
        <v>699</v>
      </c>
      <c r="C548" s="9" t="s">
        <v>709</v>
      </c>
      <c r="D548" s="10">
        <v>57.5</v>
      </c>
      <c r="E548" s="11" t="s">
        <v>693</v>
      </c>
      <c r="F548">
        <f t="shared" si="8"/>
        <v>372758</v>
      </c>
    </row>
    <row r="549" spans="1:6" x14ac:dyDescent="0.35">
      <c r="A549" s="9" t="s">
        <v>1252</v>
      </c>
      <c r="B549" s="9" t="s">
        <v>699</v>
      </c>
      <c r="C549" s="9" t="s">
        <v>709</v>
      </c>
      <c r="D549" s="10">
        <v>55</v>
      </c>
      <c r="E549" s="11" t="s">
        <v>693</v>
      </c>
      <c r="F549">
        <f t="shared" si="8"/>
        <v>373799</v>
      </c>
    </row>
    <row r="550" spans="1:6" x14ac:dyDescent="0.35">
      <c r="A550" s="9" t="s">
        <v>1253</v>
      </c>
      <c r="B550" s="9" t="s">
        <v>720</v>
      </c>
      <c r="C550" s="9" t="s">
        <v>721</v>
      </c>
      <c r="D550" s="10">
        <v>45.5</v>
      </c>
      <c r="E550" s="11" t="s">
        <v>693</v>
      </c>
      <c r="F550">
        <f t="shared" si="8"/>
        <v>373800</v>
      </c>
    </row>
    <row r="551" spans="1:6" x14ac:dyDescent="0.35">
      <c r="A551" s="9" t="s">
        <v>1254</v>
      </c>
      <c r="B551" s="9" t="s">
        <v>691</v>
      </c>
      <c r="C551" s="9" t="s">
        <v>740</v>
      </c>
      <c r="D551" s="10">
        <v>131</v>
      </c>
      <c r="E551" s="11" t="s">
        <v>693</v>
      </c>
      <c r="F551">
        <f t="shared" si="8"/>
        <v>373914</v>
      </c>
    </row>
    <row r="552" spans="1:6" x14ac:dyDescent="0.35">
      <c r="A552" s="9" t="s">
        <v>1255</v>
      </c>
      <c r="B552" s="9" t="s">
        <v>691</v>
      </c>
      <c r="C552" s="9" t="s">
        <v>695</v>
      </c>
      <c r="D552" s="10">
        <v>120</v>
      </c>
      <c r="E552" s="11" t="s">
        <v>693</v>
      </c>
      <c r="F552">
        <f t="shared" si="8"/>
        <v>374090</v>
      </c>
    </row>
    <row r="553" spans="1:6" x14ac:dyDescent="0.35">
      <c r="A553" s="9" t="s">
        <v>1256</v>
      </c>
      <c r="B553" s="9" t="s">
        <v>720</v>
      </c>
      <c r="C553" s="9" t="s">
        <v>725</v>
      </c>
      <c r="D553" s="10">
        <v>73.5</v>
      </c>
      <c r="E553" s="11" t="s">
        <v>693</v>
      </c>
      <c r="F553">
        <f t="shared" si="8"/>
        <v>374921</v>
      </c>
    </row>
    <row r="554" spans="1:6" x14ac:dyDescent="0.35">
      <c r="A554" s="9" t="s">
        <v>1257</v>
      </c>
      <c r="B554" s="9" t="s">
        <v>720</v>
      </c>
      <c r="C554" s="9" t="s">
        <v>725</v>
      </c>
      <c r="D554" s="10">
        <v>48</v>
      </c>
      <c r="E554" s="11" t="s">
        <v>693</v>
      </c>
      <c r="F554">
        <f t="shared" si="8"/>
        <v>374922</v>
      </c>
    </row>
    <row r="555" spans="1:6" x14ac:dyDescent="0.35">
      <c r="A555" s="9" t="s">
        <v>1258</v>
      </c>
      <c r="B555" s="9" t="s">
        <v>691</v>
      </c>
      <c r="C555" s="9" t="s">
        <v>733</v>
      </c>
      <c r="D555" s="10">
        <v>60</v>
      </c>
      <c r="E555" s="11" t="s">
        <v>693</v>
      </c>
      <c r="F555">
        <f t="shared" si="8"/>
        <v>375065</v>
      </c>
    </row>
    <row r="556" spans="1:6" x14ac:dyDescent="0.35">
      <c r="A556" s="9" t="s">
        <v>1259</v>
      </c>
      <c r="B556" s="9" t="s">
        <v>691</v>
      </c>
      <c r="C556" s="9" t="s">
        <v>733</v>
      </c>
      <c r="D556" s="10">
        <v>100</v>
      </c>
      <c r="E556" s="11" t="s">
        <v>693</v>
      </c>
      <c r="F556">
        <f t="shared" si="8"/>
        <v>376895</v>
      </c>
    </row>
    <row r="557" spans="1:6" x14ac:dyDescent="0.35">
      <c r="A557" s="9" t="s">
        <v>1260</v>
      </c>
      <c r="B557" s="9" t="s">
        <v>699</v>
      </c>
      <c r="C557" s="9" t="s">
        <v>709</v>
      </c>
      <c r="D557" s="10">
        <v>64.5</v>
      </c>
      <c r="E557" s="11" t="s">
        <v>693</v>
      </c>
      <c r="F557">
        <f t="shared" si="8"/>
        <v>378372</v>
      </c>
    </row>
    <row r="558" spans="1:6" x14ac:dyDescent="0.35">
      <c r="A558" s="9" t="s">
        <v>1261</v>
      </c>
      <c r="B558" s="9" t="s">
        <v>691</v>
      </c>
      <c r="C558" s="9" t="s">
        <v>692</v>
      </c>
      <c r="D558" s="10">
        <v>70</v>
      </c>
      <c r="E558" s="11" t="s">
        <v>693</v>
      </c>
      <c r="F558">
        <f t="shared" si="8"/>
        <v>378572</v>
      </c>
    </row>
    <row r="559" spans="1:6" x14ac:dyDescent="0.35">
      <c r="A559" s="9" t="s">
        <v>1262</v>
      </c>
      <c r="B559" s="9" t="s">
        <v>691</v>
      </c>
      <c r="C559" s="9" t="s">
        <v>728</v>
      </c>
      <c r="D559" s="10">
        <v>144</v>
      </c>
      <c r="E559" s="11" t="s">
        <v>693</v>
      </c>
      <c r="F559">
        <f t="shared" si="8"/>
        <v>378576</v>
      </c>
    </row>
    <row r="560" spans="1:6" x14ac:dyDescent="0.35">
      <c r="A560" s="9" t="s">
        <v>1263</v>
      </c>
      <c r="B560" s="9" t="s">
        <v>691</v>
      </c>
      <c r="C560" s="9" t="s">
        <v>692</v>
      </c>
      <c r="D560" s="10">
        <v>51</v>
      </c>
      <c r="E560" s="11" t="s">
        <v>693</v>
      </c>
      <c r="F560">
        <f t="shared" si="8"/>
        <v>378597</v>
      </c>
    </row>
    <row r="561" spans="1:6" x14ac:dyDescent="0.35">
      <c r="A561" s="9" t="s">
        <v>1264</v>
      </c>
      <c r="B561" s="9" t="s">
        <v>691</v>
      </c>
      <c r="C561" s="9" t="s">
        <v>692</v>
      </c>
      <c r="D561" s="10">
        <v>24</v>
      </c>
      <c r="E561" s="11" t="s">
        <v>693</v>
      </c>
      <c r="F561">
        <f t="shared" si="8"/>
        <v>378598</v>
      </c>
    </row>
    <row r="562" spans="1:6" x14ac:dyDescent="0.35">
      <c r="A562" s="9" t="s">
        <v>1265</v>
      </c>
      <c r="B562" s="9" t="s">
        <v>720</v>
      </c>
      <c r="C562" s="9" t="s">
        <v>721</v>
      </c>
      <c r="D562" s="10">
        <v>3</v>
      </c>
      <c r="E562" s="11" t="s">
        <v>693</v>
      </c>
      <c r="F562">
        <f t="shared" si="8"/>
        <v>378599</v>
      </c>
    </row>
    <row r="563" spans="1:6" x14ac:dyDescent="0.35">
      <c r="A563" s="9" t="s">
        <v>1266</v>
      </c>
      <c r="B563" s="9" t="s">
        <v>699</v>
      </c>
      <c r="C563" s="9" t="s">
        <v>700</v>
      </c>
      <c r="D563" s="10">
        <v>70</v>
      </c>
      <c r="E563" s="11" t="s">
        <v>693</v>
      </c>
      <c r="F563">
        <f t="shared" si="8"/>
        <v>378776</v>
      </c>
    </row>
    <row r="564" spans="1:6" x14ac:dyDescent="0.35">
      <c r="A564" s="9" t="s">
        <v>1267</v>
      </c>
      <c r="B564" s="9" t="s">
        <v>691</v>
      </c>
      <c r="C564" s="9" t="s">
        <v>695</v>
      </c>
      <c r="D564" s="10">
        <v>79.5</v>
      </c>
      <c r="E564" s="11" t="s">
        <v>693</v>
      </c>
      <c r="F564">
        <f t="shared" si="8"/>
        <v>379084</v>
      </c>
    </row>
    <row r="565" spans="1:6" x14ac:dyDescent="0.35">
      <c r="A565" s="9" t="s">
        <v>1268</v>
      </c>
      <c r="B565" s="9" t="s">
        <v>691</v>
      </c>
      <c r="C565" s="9" t="s">
        <v>733</v>
      </c>
      <c r="D565" s="10">
        <v>12</v>
      </c>
      <c r="E565" s="11" t="s">
        <v>693</v>
      </c>
      <c r="F565">
        <f t="shared" si="8"/>
        <v>379095</v>
      </c>
    </row>
    <row r="566" spans="1:6" x14ac:dyDescent="0.35">
      <c r="A566" s="9" t="s">
        <v>1269</v>
      </c>
      <c r="B566" s="9" t="s">
        <v>691</v>
      </c>
      <c r="C566" s="9" t="s">
        <v>733</v>
      </c>
      <c r="D566" s="10">
        <v>219</v>
      </c>
      <c r="E566" s="11" t="s">
        <v>693</v>
      </c>
      <c r="F566">
        <f t="shared" si="8"/>
        <v>379606</v>
      </c>
    </row>
    <row r="567" spans="1:6" x14ac:dyDescent="0.35">
      <c r="A567" s="9" t="s">
        <v>1270</v>
      </c>
      <c r="B567" s="9" t="s">
        <v>691</v>
      </c>
      <c r="C567" s="9" t="s">
        <v>733</v>
      </c>
      <c r="D567" s="10">
        <v>72</v>
      </c>
      <c r="E567" s="11" t="s">
        <v>693</v>
      </c>
      <c r="F567">
        <f t="shared" si="8"/>
        <v>379686</v>
      </c>
    </row>
    <row r="568" spans="1:6" x14ac:dyDescent="0.35">
      <c r="A568" s="9" t="s">
        <v>1271</v>
      </c>
      <c r="B568" s="9" t="s">
        <v>691</v>
      </c>
      <c r="C568" s="9" t="s">
        <v>733</v>
      </c>
      <c r="D568" s="10">
        <v>72</v>
      </c>
      <c r="E568" s="11" t="s">
        <v>693</v>
      </c>
      <c r="F568">
        <f t="shared" si="8"/>
        <v>380366</v>
      </c>
    </row>
    <row r="569" spans="1:6" x14ac:dyDescent="0.35">
      <c r="A569" s="9" t="s">
        <v>1272</v>
      </c>
      <c r="B569" s="9" t="s">
        <v>699</v>
      </c>
      <c r="C569" s="9" t="s">
        <v>709</v>
      </c>
      <c r="D569" s="10">
        <v>372.5</v>
      </c>
      <c r="E569" s="11" t="s">
        <v>693</v>
      </c>
      <c r="F569">
        <f t="shared" si="8"/>
        <v>381116</v>
      </c>
    </row>
    <row r="570" spans="1:6" x14ac:dyDescent="0.35">
      <c r="A570" s="9" t="s">
        <v>1273</v>
      </c>
      <c r="B570" s="9" t="s">
        <v>699</v>
      </c>
      <c r="C570" s="9" t="s">
        <v>702</v>
      </c>
      <c r="D570" s="10">
        <v>51</v>
      </c>
      <c r="E570" s="11" t="s">
        <v>693</v>
      </c>
      <c r="F570">
        <f t="shared" si="8"/>
        <v>381186</v>
      </c>
    </row>
    <row r="571" spans="1:6" x14ac:dyDescent="0.35">
      <c r="A571" s="9" t="s">
        <v>1274</v>
      </c>
      <c r="B571" s="9" t="s">
        <v>699</v>
      </c>
      <c r="C571" s="9" t="s">
        <v>702</v>
      </c>
      <c r="D571" s="10">
        <v>85</v>
      </c>
      <c r="E571" s="11" t="s">
        <v>693</v>
      </c>
      <c r="F571">
        <f t="shared" si="8"/>
        <v>381798</v>
      </c>
    </row>
    <row r="572" spans="1:6" x14ac:dyDescent="0.35">
      <c r="A572" s="9" t="s">
        <v>1275</v>
      </c>
      <c r="B572" s="9" t="s">
        <v>720</v>
      </c>
      <c r="C572" s="9" t="s">
        <v>725</v>
      </c>
      <c r="D572" s="10">
        <v>26</v>
      </c>
      <c r="E572" s="11" t="s">
        <v>693</v>
      </c>
      <c r="F572">
        <f t="shared" si="8"/>
        <v>381929</v>
      </c>
    </row>
    <row r="573" spans="1:6" x14ac:dyDescent="0.35">
      <c r="A573" s="9" t="s">
        <v>1276</v>
      </c>
      <c r="B573" s="9" t="s">
        <v>720</v>
      </c>
      <c r="C573" s="9" t="s">
        <v>721</v>
      </c>
      <c r="D573" s="10">
        <v>35</v>
      </c>
      <c r="E573" s="11" t="s">
        <v>693</v>
      </c>
      <c r="F573">
        <f t="shared" si="8"/>
        <v>381934</v>
      </c>
    </row>
    <row r="574" spans="1:6" x14ac:dyDescent="0.35">
      <c r="A574" s="9" t="s">
        <v>1277</v>
      </c>
      <c r="B574" s="9" t="s">
        <v>691</v>
      </c>
      <c r="C574" s="9" t="s">
        <v>740</v>
      </c>
      <c r="D574" s="10">
        <v>179</v>
      </c>
      <c r="E574" s="11" t="s">
        <v>693</v>
      </c>
      <c r="F574">
        <f t="shared" si="8"/>
        <v>382024</v>
      </c>
    </row>
    <row r="575" spans="1:6" x14ac:dyDescent="0.35">
      <c r="A575" s="9" t="s">
        <v>1278</v>
      </c>
      <c r="B575" s="9" t="s">
        <v>699</v>
      </c>
      <c r="C575" s="9" t="s">
        <v>702</v>
      </c>
      <c r="D575" s="10">
        <v>44</v>
      </c>
      <c r="E575" s="11" t="s">
        <v>693</v>
      </c>
      <c r="F575">
        <f t="shared" si="8"/>
        <v>382026</v>
      </c>
    </row>
    <row r="576" spans="1:6" x14ac:dyDescent="0.35">
      <c r="A576" s="9" t="s">
        <v>1279</v>
      </c>
      <c r="B576" s="9" t="s">
        <v>699</v>
      </c>
      <c r="C576" s="9" t="s">
        <v>702</v>
      </c>
      <c r="D576" s="10">
        <v>78.5</v>
      </c>
      <c r="E576" s="11" t="s">
        <v>693</v>
      </c>
      <c r="F576">
        <f t="shared" si="8"/>
        <v>382655</v>
      </c>
    </row>
    <row r="577" spans="1:6" x14ac:dyDescent="0.35">
      <c r="A577" s="9" t="s">
        <v>1280</v>
      </c>
      <c r="B577" s="9" t="s">
        <v>691</v>
      </c>
      <c r="C577" s="9" t="s">
        <v>692</v>
      </c>
      <c r="D577" s="10">
        <v>96</v>
      </c>
      <c r="E577" s="11" t="s">
        <v>693</v>
      </c>
      <c r="F577">
        <f t="shared" si="8"/>
        <v>382656</v>
      </c>
    </row>
    <row r="578" spans="1:6" x14ac:dyDescent="0.35">
      <c r="A578" s="9" t="s">
        <v>1281</v>
      </c>
      <c r="B578" s="9" t="s">
        <v>720</v>
      </c>
      <c r="C578" s="9" t="s">
        <v>721</v>
      </c>
      <c r="D578" s="10">
        <v>23.5</v>
      </c>
      <c r="E578" s="11" t="s">
        <v>693</v>
      </c>
      <c r="F578">
        <f t="shared" si="8"/>
        <v>382748</v>
      </c>
    </row>
    <row r="579" spans="1:6" x14ac:dyDescent="0.35">
      <c r="A579" s="9" t="s">
        <v>1282</v>
      </c>
      <c r="B579" s="9" t="s">
        <v>699</v>
      </c>
      <c r="C579" s="9" t="s">
        <v>700</v>
      </c>
      <c r="D579" s="10">
        <v>63</v>
      </c>
      <c r="E579" s="11" t="s">
        <v>693</v>
      </c>
      <c r="F579">
        <f t="shared" ref="F579:F602" si="9">VALUE(LEFT(A579,FIND(" ",A579)-1))</f>
        <v>383650</v>
      </c>
    </row>
    <row r="580" spans="1:6" x14ac:dyDescent="0.35">
      <c r="A580" s="9" t="s">
        <v>1283</v>
      </c>
      <c r="B580" s="9" t="s">
        <v>691</v>
      </c>
      <c r="C580" s="9" t="s">
        <v>697</v>
      </c>
      <c r="D580" s="10">
        <v>40</v>
      </c>
      <c r="E580" s="11" t="s">
        <v>693</v>
      </c>
      <c r="F580">
        <f t="shared" si="9"/>
        <v>383736</v>
      </c>
    </row>
    <row r="581" spans="1:6" x14ac:dyDescent="0.35">
      <c r="A581" s="9" t="s">
        <v>1284</v>
      </c>
      <c r="B581" s="9" t="s">
        <v>699</v>
      </c>
      <c r="C581" s="9" t="s">
        <v>702</v>
      </c>
      <c r="D581" s="10">
        <v>57</v>
      </c>
      <c r="E581" s="11" t="s">
        <v>693</v>
      </c>
      <c r="F581">
        <f t="shared" si="9"/>
        <v>383737</v>
      </c>
    </row>
    <row r="582" spans="1:6" x14ac:dyDescent="0.35">
      <c r="A582" s="9" t="s">
        <v>1285</v>
      </c>
      <c r="B582" s="9" t="s">
        <v>699</v>
      </c>
      <c r="C582" s="9" t="s">
        <v>702</v>
      </c>
      <c r="D582" s="10">
        <v>109</v>
      </c>
      <c r="E582" s="11" t="s">
        <v>693</v>
      </c>
      <c r="F582">
        <f t="shared" si="9"/>
        <v>383803</v>
      </c>
    </row>
    <row r="583" spans="1:6" x14ac:dyDescent="0.35">
      <c r="A583" s="9" t="s">
        <v>1286</v>
      </c>
      <c r="B583" s="9" t="s">
        <v>699</v>
      </c>
      <c r="C583" s="9" t="s">
        <v>702</v>
      </c>
      <c r="D583" s="10">
        <v>23</v>
      </c>
      <c r="E583" s="11" t="s">
        <v>693</v>
      </c>
      <c r="F583">
        <f t="shared" si="9"/>
        <v>383832</v>
      </c>
    </row>
    <row r="584" spans="1:6" x14ac:dyDescent="0.35">
      <c r="A584" s="9" t="s">
        <v>1287</v>
      </c>
      <c r="B584" s="9" t="s">
        <v>691</v>
      </c>
      <c r="C584" s="9" t="s">
        <v>709</v>
      </c>
      <c r="D584" s="10">
        <v>108.5</v>
      </c>
      <c r="E584" s="11" t="s">
        <v>693</v>
      </c>
      <c r="F584">
        <f t="shared" si="9"/>
        <v>384143</v>
      </c>
    </row>
    <row r="585" spans="1:6" x14ac:dyDescent="0.35">
      <c r="A585" s="9" t="s">
        <v>1288</v>
      </c>
      <c r="B585" s="9" t="s">
        <v>699</v>
      </c>
      <c r="C585" s="9" t="s">
        <v>709</v>
      </c>
      <c r="D585" s="10">
        <v>41</v>
      </c>
      <c r="E585" s="11" t="s">
        <v>693</v>
      </c>
      <c r="F585">
        <f t="shared" si="9"/>
        <v>384663</v>
      </c>
    </row>
    <row r="586" spans="1:6" x14ac:dyDescent="0.35">
      <c r="A586" s="9" t="s">
        <v>1289</v>
      </c>
      <c r="B586" s="9" t="s">
        <v>691</v>
      </c>
      <c r="C586" s="9" t="s">
        <v>695</v>
      </c>
      <c r="D586" s="10">
        <v>73</v>
      </c>
      <c r="E586" s="11" t="s">
        <v>693</v>
      </c>
      <c r="F586">
        <f t="shared" si="9"/>
        <v>385542</v>
      </c>
    </row>
    <row r="587" spans="1:6" x14ac:dyDescent="0.35">
      <c r="A587" s="9" t="s">
        <v>1290</v>
      </c>
      <c r="B587" s="9" t="s">
        <v>691</v>
      </c>
      <c r="C587" s="9" t="s">
        <v>695</v>
      </c>
      <c r="D587" s="10">
        <v>117</v>
      </c>
      <c r="E587" s="11" t="s">
        <v>693</v>
      </c>
      <c r="F587">
        <f t="shared" si="9"/>
        <v>385803</v>
      </c>
    </row>
    <row r="588" spans="1:6" x14ac:dyDescent="0.35">
      <c r="A588" s="9" t="s">
        <v>1291</v>
      </c>
      <c r="B588" s="9" t="s">
        <v>720</v>
      </c>
      <c r="C588" s="9" t="s">
        <v>721</v>
      </c>
      <c r="D588" s="10">
        <v>18</v>
      </c>
      <c r="E588" s="11" t="s">
        <v>693</v>
      </c>
      <c r="F588">
        <f t="shared" si="9"/>
        <v>385847</v>
      </c>
    </row>
    <row r="589" spans="1:6" x14ac:dyDescent="0.35">
      <c r="A589" s="9" t="s">
        <v>1292</v>
      </c>
      <c r="B589" s="9" t="s">
        <v>699</v>
      </c>
      <c r="C589" s="9" t="s">
        <v>702</v>
      </c>
      <c r="D589" s="10">
        <v>50.5</v>
      </c>
      <c r="E589" s="11" t="s">
        <v>693</v>
      </c>
      <c r="F589">
        <f t="shared" si="9"/>
        <v>385864</v>
      </c>
    </row>
    <row r="590" spans="1:6" x14ac:dyDescent="0.35">
      <c r="A590" s="9" t="s">
        <v>1293</v>
      </c>
      <c r="B590" s="9" t="s">
        <v>691</v>
      </c>
      <c r="C590" s="9" t="s">
        <v>740</v>
      </c>
      <c r="D590" s="10">
        <v>78</v>
      </c>
      <c r="E590" s="11" t="s">
        <v>693</v>
      </c>
      <c r="F590">
        <f t="shared" si="9"/>
        <v>386278</v>
      </c>
    </row>
    <row r="591" spans="1:6" x14ac:dyDescent="0.35">
      <c r="A591" s="9" t="s">
        <v>1294</v>
      </c>
      <c r="B591" s="9" t="s">
        <v>691</v>
      </c>
      <c r="C591" s="9" t="s">
        <v>733</v>
      </c>
      <c r="D591" s="10">
        <v>6</v>
      </c>
      <c r="E591" s="11" t="s">
        <v>693</v>
      </c>
      <c r="F591">
        <f t="shared" si="9"/>
        <v>386380</v>
      </c>
    </row>
    <row r="592" spans="1:6" x14ac:dyDescent="0.35">
      <c r="A592" s="9" t="s">
        <v>1295</v>
      </c>
      <c r="B592" s="9" t="s">
        <v>699</v>
      </c>
      <c r="C592" s="9" t="s">
        <v>700</v>
      </c>
      <c r="D592" s="10">
        <v>60</v>
      </c>
      <c r="E592" s="11" t="s">
        <v>693</v>
      </c>
      <c r="F592">
        <f t="shared" si="9"/>
        <v>386575</v>
      </c>
    </row>
    <row r="593" spans="1:6" x14ac:dyDescent="0.35">
      <c r="A593" s="9" t="s">
        <v>1296</v>
      </c>
      <c r="B593" s="9" t="s">
        <v>720</v>
      </c>
      <c r="C593" s="9" t="s">
        <v>725</v>
      </c>
      <c r="D593" s="10">
        <v>18</v>
      </c>
      <c r="E593" s="11" t="s">
        <v>693</v>
      </c>
      <c r="F593">
        <f t="shared" si="9"/>
        <v>386713</v>
      </c>
    </row>
    <row r="594" spans="1:6" x14ac:dyDescent="0.35">
      <c r="A594" s="9" t="s">
        <v>1297</v>
      </c>
      <c r="B594" s="9" t="s">
        <v>720</v>
      </c>
      <c r="C594" s="9" t="s">
        <v>721</v>
      </c>
      <c r="D594" s="10">
        <v>6</v>
      </c>
      <c r="E594" s="11" t="s">
        <v>693</v>
      </c>
      <c r="F594">
        <f t="shared" si="9"/>
        <v>387659</v>
      </c>
    </row>
    <row r="595" spans="1:6" x14ac:dyDescent="0.35">
      <c r="A595" s="9" t="s">
        <v>1298</v>
      </c>
      <c r="B595" s="9" t="s">
        <v>699</v>
      </c>
      <c r="C595" s="9" t="s">
        <v>702</v>
      </c>
      <c r="D595" s="10">
        <v>45</v>
      </c>
      <c r="E595" s="11" t="s">
        <v>693</v>
      </c>
      <c r="F595">
        <f t="shared" si="9"/>
        <v>387724</v>
      </c>
    </row>
    <row r="596" spans="1:6" x14ac:dyDescent="0.35">
      <c r="A596" s="9" t="s">
        <v>1299</v>
      </c>
      <c r="B596" s="9" t="s">
        <v>699</v>
      </c>
      <c r="C596" s="9" t="s">
        <v>702</v>
      </c>
      <c r="D596" s="10">
        <v>8</v>
      </c>
      <c r="E596" s="11" t="s">
        <v>693</v>
      </c>
      <c r="F596">
        <f t="shared" si="9"/>
        <v>390976</v>
      </c>
    </row>
    <row r="597" spans="1:6" x14ac:dyDescent="0.35">
      <c r="A597" s="9" t="s">
        <v>1300</v>
      </c>
      <c r="B597" s="9" t="s">
        <v>691</v>
      </c>
      <c r="C597" s="9" t="s">
        <v>740</v>
      </c>
      <c r="D597" s="10">
        <v>96</v>
      </c>
      <c r="E597" s="11" t="s">
        <v>693</v>
      </c>
      <c r="F597">
        <f t="shared" si="9"/>
        <v>391466</v>
      </c>
    </row>
    <row r="598" spans="1:6" x14ac:dyDescent="0.35">
      <c r="A598" s="9" t="s">
        <v>1301</v>
      </c>
      <c r="B598" s="9" t="s">
        <v>720</v>
      </c>
      <c r="C598" s="9" t="s">
        <v>725</v>
      </c>
      <c r="D598" s="10">
        <v>27</v>
      </c>
      <c r="E598" s="11" t="s">
        <v>693</v>
      </c>
      <c r="F598">
        <f t="shared" si="9"/>
        <v>392208</v>
      </c>
    </row>
    <row r="599" spans="1:6" x14ac:dyDescent="0.35">
      <c r="A599" s="9" t="s">
        <v>1302</v>
      </c>
      <c r="B599" s="9" t="s">
        <v>699</v>
      </c>
      <c r="C599" s="9" t="s">
        <v>702</v>
      </c>
      <c r="D599" s="10">
        <v>28</v>
      </c>
      <c r="E599" s="11" t="s">
        <v>693</v>
      </c>
      <c r="F599">
        <f t="shared" si="9"/>
        <v>392222</v>
      </c>
    </row>
    <row r="600" spans="1:6" x14ac:dyDescent="0.35">
      <c r="A600" s="9" t="s">
        <v>1303</v>
      </c>
      <c r="B600" s="9" t="s">
        <v>691</v>
      </c>
      <c r="C600" s="9" t="s">
        <v>740</v>
      </c>
      <c r="D600" s="10">
        <v>3</v>
      </c>
      <c r="E600" s="11" t="s">
        <v>693</v>
      </c>
      <c r="F600">
        <f t="shared" si="9"/>
        <v>392301</v>
      </c>
    </row>
    <row r="601" spans="1:6" x14ac:dyDescent="0.35">
      <c r="A601" s="9" t="s">
        <v>1304</v>
      </c>
      <c r="B601" s="9" t="s">
        <v>699</v>
      </c>
      <c r="C601" s="9" t="s">
        <v>700</v>
      </c>
      <c r="D601" s="10">
        <v>21</v>
      </c>
      <c r="E601" s="11" t="s">
        <v>693</v>
      </c>
      <c r="F601">
        <f t="shared" si="9"/>
        <v>393411</v>
      </c>
    </row>
    <row r="602" spans="1:6" x14ac:dyDescent="0.35">
      <c r="A602" s="9" t="s">
        <v>1305</v>
      </c>
      <c r="B602" s="9" t="s">
        <v>691</v>
      </c>
      <c r="C602" s="9" t="s">
        <v>740</v>
      </c>
      <c r="D602" s="10">
        <v>336</v>
      </c>
      <c r="E602" s="11" t="s">
        <v>693</v>
      </c>
      <c r="F602">
        <f t="shared" si="9"/>
        <v>524930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Sharing</vt:lpstr>
      <vt:lpstr>MS SAP Dump</vt:lpstr>
      <vt:lpstr>HSD SAP Dump</vt:lpstr>
    </vt:vector>
  </TitlesOfParts>
  <Company>IOCL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2026-07-01T05:25:10Z</dcterms:created>
  <dcterms:modified xsi:type="dcterms:W3CDTF">2026-07-01T07:27:38Z</dcterms:modified>
</cp:coreProperties>
</file>